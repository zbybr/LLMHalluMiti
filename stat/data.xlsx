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bybr\Documents\Workspace\LLMHalluMiti\stat\"/>
    </mc:Choice>
  </mc:AlternateContent>
  <xr:revisionPtr revIDLastSave="0" documentId="13_ncr:1_{FD685F12-8628-4961-A87D-9AAF294C38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14" i="1" l="1"/>
  <c r="BJ13" i="1"/>
  <c r="BJ11" i="1"/>
  <c r="BJ10" i="1"/>
  <c r="BJ5" i="1"/>
  <c r="BJ4" i="1"/>
  <c r="BJ8" i="1"/>
  <c r="BJ7" i="1"/>
  <c r="BL14" i="1"/>
  <c r="BH14" i="1"/>
  <c r="BL13" i="1"/>
  <c r="BH13" i="1"/>
  <c r="BL12" i="1"/>
  <c r="BJ12" i="1"/>
  <c r="BH12" i="1"/>
  <c r="BF12" i="1"/>
  <c r="BL11" i="1"/>
  <c r="BH11" i="1"/>
  <c r="BL10" i="1"/>
  <c r="BH10" i="1"/>
  <c r="BL9" i="1"/>
  <c r="BJ9" i="1"/>
  <c r="BH9" i="1"/>
  <c r="BF9" i="1"/>
  <c r="BL8" i="1"/>
  <c r="BH8" i="1"/>
  <c r="BL7" i="1"/>
  <c r="BH7" i="1"/>
  <c r="BL6" i="1"/>
  <c r="BJ6" i="1"/>
  <c r="BH6" i="1"/>
  <c r="BF6" i="1"/>
  <c r="BL5" i="1"/>
  <c r="BH5" i="1"/>
  <c r="BL4" i="1"/>
  <c r="BH4" i="1"/>
  <c r="BL3" i="1"/>
  <c r="BJ3" i="1"/>
  <c r="BH3" i="1"/>
  <c r="BF3" i="1"/>
</calcChain>
</file>

<file path=xl/sharedStrings.xml><?xml version="1.0" encoding="utf-8"?>
<sst xmlns="http://schemas.openxmlformats.org/spreadsheetml/2006/main" count="194" uniqueCount="71">
  <si>
    <t>gpt-4o</t>
    <phoneticPr fontId="1" type="noConversion"/>
  </si>
  <si>
    <t>gpt-5</t>
    <phoneticPr fontId="1" type="noConversion"/>
  </si>
  <si>
    <t>recheck_hallucination_rate</t>
    <phoneticPr fontId="1" type="noConversion"/>
  </si>
  <si>
    <t>hallucination_repair_rate</t>
    <phoneticPr fontId="1" type="noConversion"/>
  </si>
  <si>
    <t>oa</t>
    <phoneticPr fontId="1" type="noConversion"/>
  </si>
  <si>
    <t>cot</t>
    <phoneticPr fontId="1" type="noConversion"/>
  </si>
  <si>
    <t>cove</t>
    <phoneticPr fontId="1" type="noConversion"/>
  </si>
  <si>
    <t>avg_token_cost</t>
    <phoneticPr fontId="1" type="noConversion"/>
  </si>
  <si>
    <t>avg_time_cost</t>
    <phoneticPr fontId="1" type="noConversion"/>
  </si>
  <si>
    <t>cove-se</t>
    <phoneticPr fontId="1" type="noConversion"/>
  </si>
  <si>
    <t>overcorrection</t>
    <phoneticPr fontId="1" type="noConversion"/>
  </si>
  <si>
    <t>pass@6</t>
    <phoneticPr fontId="1" type="noConversion"/>
  </si>
  <si>
    <t>oa-ra</t>
    <phoneticPr fontId="1" type="noConversion"/>
  </si>
  <si>
    <t>gemini</t>
    <phoneticPr fontId="1" type="noConversion"/>
  </si>
  <si>
    <t>oa-cs</t>
    <phoneticPr fontId="1" type="noConversion"/>
  </si>
  <si>
    <t>hallucination_rate</t>
    <phoneticPr fontId="1" type="noConversion"/>
  </si>
  <si>
    <t>overall</t>
    <phoneticPr fontId="1" type="noConversion"/>
  </si>
  <si>
    <t>truthfulqa</t>
    <phoneticPr fontId="1" type="noConversion"/>
  </si>
  <si>
    <t>hotpotqa</t>
    <phoneticPr fontId="1" type="noConversion"/>
  </si>
  <si>
    <t>freshqa</t>
    <phoneticPr fontId="1" type="noConversion"/>
  </si>
  <si>
    <t>qwen3</t>
    <phoneticPr fontId="1" type="noConversion"/>
  </si>
  <si>
    <t>oa-mv</t>
    <phoneticPr fontId="1" type="noConversion"/>
  </si>
  <si>
    <t>CoVe-SE</t>
  </si>
  <si>
    <t>CoVe</t>
  </si>
  <si>
    <t>CoT</t>
    <phoneticPr fontId="1" type="noConversion"/>
  </si>
  <si>
    <t>CoVe</t>
    <phoneticPr fontId="1" type="noConversion"/>
  </si>
  <si>
    <t>FreshQA</t>
    <phoneticPr fontId="4" type="noConversion"/>
  </si>
  <si>
    <t>HotpotQA</t>
    <phoneticPr fontId="4" type="noConversion"/>
  </si>
  <si>
    <t>TruthfulQA</t>
    <phoneticPr fontId="4" type="noConversion"/>
  </si>
  <si>
    <t>Method</t>
    <phoneticPr fontId="4" type="noConversion"/>
  </si>
  <si>
    <t>Model</t>
    <phoneticPr fontId="4" type="noConversion"/>
  </si>
  <si>
    <t>run1</t>
    <phoneticPr fontId="1" type="noConversion"/>
  </si>
  <si>
    <t>run2</t>
    <phoneticPr fontId="1" type="noConversion"/>
  </si>
  <si>
    <t>run3</t>
    <phoneticPr fontId="1" type="noConversion"/>
  </si>
  <si>
    <t>rc. hal.</t>
    <phoneticPr fontId="1" type="noConversion"/>
  </si>
  <si>
    <t>hal. repair</t>
    <phoneticPr fontId="1" type="noConversion"/>
  </si>
  <si>
    <t>oc.</t>
    <phoneticPr fontId="1" type="noConversion"/>
  </si>
  <si>
    <t>recheck hallucination rate</t>
    <phoneticPr fontId="1" type="noConversion"/>
  </si>
  <si>
    <t>temperature</t>
    <phoneticPr fontId="1" type="noConversion"/>
  </si>
  <si>
    <t>hallucination repair rate</t>
    <phoneticPr fontId="1" type="noConversion"/>
  </si>
  <si>
    <t>over-correction rate</t>
    <phoneticPr fontId="1" type="noConversion"/>
  </si>
  <si>
    <t>token cost</t>
    <phoneticPr fontId="1" type="noConversion"/>
  </si>
  <si>
    <t>time cost</t>
    <phoneticPr fontId="1" type="noConversion"/>
  </si>
  <si>
    <t>model</t>
    <phoneticPr fontId="1" type="noConversion"/>
  </si>
  <si>
    <t>method</t>
    <phoneticPr fontId="1" type="noConversion"/>
  </si>
  <si>
    <t>CoVe-SE</t>
    <phoneticPr fontId="1" type="noConversion"/>
  </si>
  <si>
    <t>RHR</t>
    <phoneticPr fontId="4" type="noConversion"/>
  </si>
  <si>
    <t>HRR</t>
    <phoneticPr fontId="4" type="noConversion"/>
  </si>
  <si>
    <t>OCR</t>
    <phoneticPr fontId="4" type="noConversion"/>
  </si>
  <si>
    <t>HR</t>
    <phoneticPr fontId="1" type="noConversion"/>
  </si>
  <si>
    <t>MutRepair</t>
  </si>
  <si>
    <t>RCR</t>
    <phoneticPr fontId="1" type="noConversion"/>
  </si>
  <si>
    <t>RHR</t>
    <phoneticPr fontId="1" type="noConversion"/>
  </si>
  <si>
    <t>OCR</t>
    <phoneticPr fontId="1" type="noConversion"/>
  </si>
  <si>
    <t>drhall</t>
    <phoneticPr fontId="1" type="noConversion"/>
  </si>
  <si>
    <t>DrHall</t>
    <phoneticPr fontId="1" type="noConversion"/>
  </si>
  <si>
    <t>hallucination samples</t>
    <phoneticPr fontId="4" type="noConversion"/>
  </si>
  <si>
    <t>hallucination rate</t>
    <phoneticPr fontId="4" type="noConversion"/>
  </si>
  <si>
    <t>final hallu samples</t>
    <phoneticPr fontId="4" type="noConversion"/>
  </si>
  <si>
    <t>final hallu rate</t>
    <phoneticPr fontId="4" type="noConversion"/>
  </si>
  <si>
    <t>hallu repair samples</t>
    <phoneticPr fontId="4" type="noConversion"/>
  </si>
  <si>
    <t>hallu repair rate</t>
    <phoneticPr fontId="4" type="noConversion"/>
  </si>
  <si>
    <t>overcorrection samples</t>
    <phoneticPr fontId="4" type="noConversion"/>
  </si>
  <si>
    <t>overcorrection rate</t>
    <phoneticPr fontId="4" type="noConversion"/>
  </si>
  <si>
    <t>gpt-4o</t>
    <phoneticPr fontId="4" type="noConversion"/>
  </si>
  <si>
    <t>CoT</t>
    <phoneticPr fontId="4" type="noConversion"/>
  </si>
  <si>
    <t>DrHall</t>
    <phoneticPr fontId="4" type="noConversion"/>
  </si>
  <si>
    <t>MutRepair</t>
    <phoneticPr fontId="4" type="noConversion"/>
  </si>
  <si>
    <t>gpt-5</t>
    <phoneticPr fontId="4" type="noConversion"/>
  </si>
  <si>
    <t>qwen3</t>
    <phoneticPr fontId="4" type="noConversion"/>
  </si>
  <si>
    <t>gemini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</si>
</sst>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" xfId="0" applyBorder="1"/>
    <xf numFmtId="0" fontId="3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6" xfId="0" applyBorder="1"/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10" fontId="3" fillId="2" borderId="2" xfId="0" applyNumberFormat="1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10" fontId="3" fillId="2" borderId="13" xfId="0" applyNumberFormat="1" applyFont="1" applyFill="1" applyBorder="1" applyAlignment="1">
      <alignment vertical="center"/>
    </xf>
    <xf numFmtId="10" fontId="3" fillId="2" borderId="1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10" fontId="3" fillId="2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10" fontId="3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10" fontId="2" fillId="2" borderId="2" xfId="0" applyNumberFormat="1" applyFont="1" applyFill="1" applyBorder="1" applyAlignment="1">
      <alignment vertical="center"/>
    </xf>
    <xf numFmtId="10" fontId="2" fillId="2" borderId="1" xfId="0" applyNumberFormat="1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10" fontId="2" fillId="2" borderId="20" xfId="0" applyNumberFormat="1" applyFont="1" applyFill="1" applyBorder="1" applyAlignment="1">
      <alignment vertical="center"/>
    </xf>
    <xf numFmtId="10" fontId="3" fillId="2" borderId="20" xfId="0" applyNumberFormat="1" applyFont="1" applyFill="1" applyBorder="1" applyAlignment="1">
      <alignment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91"/>
  <sheetViews>
    <sheetView tabSelected="1" topLeftCell="A28" workbookViewId="0">
      <selection activeCell="H48" sqref="H48"/>
    </sheetView>
  </sheetViews>
  <sheetFormatPr defaultRowHeight="14.25" x14ac:dyDescent="0.2"/>
  <cols>
    <col min="27" max="28" width="7.625" customWidth="1"/>
    <col min="29" max="30" width="6.625" customWidth="1"/>
    <col min="31" max="31" width="8.875" customWidth="1"/>
    <col min="32" max="34" width="6.625" customWidth="1"/>
    <col min="35" max="35" width="8.875" customWidth="1"/>
    <col min="36" max="38" width="6.625" customWidth="1"/>
    <col min="39" max="39" width="8.875" customWidth="1"/>
    <col min="40" max="40" width="6.625" customWidth="1"/>
    <col min="43" max="43" width="10.625" customWidth="1"/>
    <col min="44" max="45" width="25.625" customWidth="1"/>
    <col min="46" max="46" width="20.625" customWidth="1"/>
    <col min="49" max="52" width="8.875" customWidth="1"/>
  </cols>
  <sheetData>
    <row r="1" spans="1:64" x14ac:dyDescent="0.2">
      <c r="A1" s="1"/>
      <c r="B1" s="1"/>
      <c r="C1" s="36" t="s">
        <v>16</v>
      </c>
      <c r="D1" s="36"/>
      <c r="E1" s="36"/>
      <c r="F1" s="36"/>
      <c r="G1" s="36"/>
      <c r="H1" s="36"/>
      <c r="I1" s="36"/>
      <c r="J1" s="36" t="s">
        <v>17</v>
      </c>
      <c r="K1" s="36"/>
      <c r="L1" s="36"/>
      <c r="M1" s="36"/>
      <c r="N1" s="36"/>
      <c r="O1" s="36" t="s">
        <v>18</v>
      </c>
      <c r="P1" s="36"/>
      <c r="Q1" s="36"/>
      <c r="R1" s="36"/>
      <c r="S1" s="36"/>
      <c r="T1" s="36" t="s">
        <v>19</v>
      </c>
      <c r="U1" s="36"/>
      <c r="V1" s="36"/>
      <c r="W1" s="36"/>
      <c r="X1" s="36"/>
      <c r="AS1" s="31"/>
      <c r="AT1" s="31"/>
      <c r="AW1" s="31"/>
      <c r="AX1" s="31"/>
      <c r="AY1" s="31"/>
      <c r="AZ1" s="31"/>
      <c r="BC1" s="31"/>
      <c r="BD1" s="31"/>
      <c r="BE1" s="31"/>
      <c r="BF1" s="31"/>
      <c r="BG1" s="31"/>
      <c r="BH1" s="31"/>
      <c r="BI1" s="31"/>
      <c r="BJ1" s="31"/>
      <c r="BK1" s="31"/>
      <c r="BL1" s="31"/>
    </row>
    <row r="2" spans="1:64" ht="15.75" thickBot="1" x14ac:dyDescent="0.25">
      <c r="A2" s="1"/>
      <c r="B2" s="1"/>
      <c r="C2" s="1" t="s">
        <v>15</v>
      </c>
      <c r="D2" s="1" t="s">
        <v>2</v>
      </c>
      <c r="E2" s="1" t="s">
        <v>3</v>
      </c>
      <c r="F2" s="1" t="s">
        <v>10</v>
      </c>
      <c r="G2" s="1" t="s">
        <v>7</v>
      </c>
      <c r="H2" s="1" t="s">
        <v>8</v>
      </c>
      <c r="I2" s="1" t="s">
        <v>11</v>
      </c>
      <c r="J2" s="1" t="s">
        <v>15</v>
      </c>
      <c r="K2" s="1" t="s">
        <v>2</v>
      </c>
      <c r="L2" s="1" t="s">
        <v>3</v>
      </c>
      <c r="M2" s="1" t="s">
        <v>10</v>
      </c>
      <c r="N2" s="1" t="s">
        <v>11</v>
      </c>
      <c r="O2" s="1" t="s">
        <v>15</v>
      </c>
      <c r="P2" s="1" t="s">
        <v>2</v>
      </c>
      <c r="Q2" s="1" t="s">
        <v>3</v>
      </c>
      <c r="R2" s="1" t="s">
        <v>10</v>
      </c>
      <c r="S2" s="1" t="s">
        <v>11</v>
      </c>
      <c r="T2" s="1" t="s">
        <v>15</v>
      </c>
      <c r="U2" s="1" t="s">
        <v>2</v>
      </c>
      <c r="V2" s="1" t="s">
        <v>3</v>
      </c>
      <c r="W2" s="1" t="s">
        <v>10</v>
      </c>
      <c r="X2" s="1" t="s">
        <v>11</v>
      </c>
      <c r="AA2" s="19" t="s">
        <v>30</v>
      </c>
      <c r="AB2" s="21" t="s">
        <v>29</v>
      </c>
      <c r="AC2" s="29" t="s">
        <v>49</v>
      </c>
      <c r="AD2" s="19" t="s">
        <v>46</v>
      </c>
      <c r="AE2" s="19" t="s">
        <v>47</v>
      </c>
      <c r="AF2" s="20" t="s">
        <v>48</v>
      </c>
      <c r="AG2" s="29" t="s">
        <v>49</v>
      </c>
      <c r="AH2" s="19" t="s">
        <v>46</v>
      </c>
      <c r="AI2" s="19" t="s">
        <v>47</v>
      </c>
      <c r="AJ2" s="20" t="s">
        <v>48</v>
      </c>
      <c r="AK2" s="29" t="s">
        <v>49</v>
      </c>
      <c r="AL2" s="19" t="s">
        <v>46</v>
      </c>
      <c r="AM2" s="19" t="s">
        <v>47</v>
      </c>
      <c r="AN2" s="20" t="s">
        <v>48</v>
      </c>
      <c r="AQ2" s="32" t="s">
        <v>38</v>
      </c>
      <c r="AR2" s="30" t="s">
        <v>37</v>
      </c>
      <c r="AS2" s="23" t="s">
        <v>39</v>
      </c>
      <c r="AT2" s="16" t="s">
        <v>40</v>
      </c>
      <c r="AW2" s="5" t="s">
        <v>43</v>
      </c>
      <c r="AX2" s="23" t="s">
        <v>44</v>
      </c>
      <c r="AY2" s="23" t="s">
        <v>41</v>
      </c>
      <c r="AZ2" s="16" t="s">
        <v>42</v>
      </c>
      <c r="BC2" s="51" t="s">
        <v>43</v>
      </c>
      <c r="BD2" s="52" t="s">
        <v>44</v>
      </c>
      <c r="BE2" s="53" t="s">
        <v>56</v>
      </c>
      <c r="BF2" s="54" t="s">
        <v>57</v>
      </c>
      <c r="BG2" s="55" t="s">
        <v>58</v>
      </c>
      <c r="BH2" s="56" t="s">
        <v>59</v>
      </c>
      <c r="BI2" s="55" t="s">
        <v>60</v>
      </c>
      <c r="BJ2" s="56" t="s">
        <v>61</v>
      </c>
      <c r="BK2" s="55" t="s">
        <v>62</v>
      </c>
      <c r="BL2" s="57" t="s">
        <v>63</v>
      </c>
    </row>
    <row r="3" spans="1:64" ht="16.5" thickTop="1" thickBot="1" x14ac:dyDescent="0.25">
      <c r="A3" s="36" t="s">
        <v>0</v>
      </c>
      <c r="B3" s="1" t="s">
        <v>5</v>
      </c>
      <c r="C3" s="36">
        <v>39.81</v>
      </c>
      <c r="D3" s="1">
        <v>22.95</v>
      </c>
      <c r="E3" s="1">
        <v>49.45</v>
      </c>
      <c r="F3" s="1">
        <v>4.7300000000000004</v>
      </c>
      <c r="G3" s="1">
        <v>100.61</v>
      </c>
      <c r="H3" s="1">
        <v>4.9604999999999997</v>
      </c>
      <c r="I3" s="1"/>
      <c r="J3" s="36">
        <v>45.78</v>
      </c>
      <c r="K3" s="1">
        <v>24.6</v>
      </c>
      <c r="L3" s="1">
        <v>56.95</v>
      </c>
      <c r="M3" s="1">
        <v>9.0299999999999994</v>
      </c>
      <c r="N3" s="1"/>
      <c r="O3" s="36">
        <v>38.03</v>
      </c>
      <c r="P3" s="1">
        <v>28.52</v>
      </c>
      <c r="Q3" s="1">
        <v>27.16</v>
      </c>
      <c r="R3" s="1">
        <v>1.32</v>
      </c>
      <c r="S3" s="1"/>
      <c r="T3" s="36">
        <v>30.33</v>
      </c>
      <c r="U3" s="1">
        <v>11.28</v>
      </c>
      <c r="V3" s="1">
        <v>68.599999999999994</v>
      </c>
      <c r="W3" s="1">
        <v>2.52</v>
      </c>
      <c r="X3" s="1"/>
      <c r="AA3" s="37"/>
      <c r="AB3" s="38"/>
      <c r="AC3" s="39" t="s">
        <v>28</v>
      </c>
      <c r="AD3" s="37"/>
      <c r="AE3" s="37"/>
      <c r="AF3" s="38"/>
      <c r="AG3" s="39" t="s">
        <v>27</v>
      </c>
      <c r="AH3" s="37"/>
      <c r="AI3" s="37"/>
      <c r="AJ3" s="38"/>
      <c r="AK3" s="39" t="s">
        <v>26</v>
      </c>
      <c r="AL3" s="37"/>
      <c r="AM3" s="37"/>
      <c r="AN3" s="37"/>
      <c r="AQ3" s="8">
        <v>0.1</v>
      </c>
      <c r="AR3" s="24">
        <v>17.22</v>
      </c>
      <c r="AS3" s="24">
        <v>64.56</v>
      </c>
      <c r="AT3" s="12">
        <v>2.97</v>
      </c>
      <c r="AW3" s="35" t="s">
        <v>0</v>
      </c>
      <c r="AX3" s="24" t="s">
        <v>24</v>
      </c>
      <c r="AY3" s="25">
        <v>100.61</v>
      </c>
      <c r="AZ3" s="26">
        <v>4.9604999999999997</v>
      </c>
      <c r="BC3" s="58" t="s">
        <v>64</v>
      </c>
      <c r="BD3" s="67" t="s">
        <v>65</v>
      </c>
      <c r="BE3" s="72">
        <v>130</v>
      </c>
      <c r="BF3" s="60">
        <f>BE3/200</f>
        <v>0.65</v>
      </c>
      <c r="BG3" s="67">
        <v>124</v>
      </c>
      <c r="BH3" s="56">
        <f>BG3/200</f>
        <v>0.62</v>
      </c>
      <c r="BI3" s="55">
        <v>6</v>
      </c>
      <c r="BJ3" s="56">
        <f>BI3/BE3</f>
        <v>4.6153846153846156E-2</v>
      </c>
      <c r="BK3" s="69">
        <v>0</v>
      </c>
      <c r="BL3" s="70">
        <f>BK3/(200-BE3)</f>
        <v>0</v>
      </c>
    </row>
    <row r="4" spans="1:64" ht="15.75" thickTop="1" x14ac:dyDescent="0.2">
      <c r="A4" s="36"/>
      <c r="B4" s="1" t="s">
        <v>6</v>
      </c>
      <c r="C4" s="36"/>
      <c r="D4" s="1">
        <v>25.03</v>
      </c>
      <c r="E4" s="1">
        <v>55.23</v>
      </c>
      <c r="F4" s="1">
        <v>12</v>
      </c>
      <c r="G4" s="1">
        <v>2253.6799999999998</v>
      </c>
      <c r="H4" s="1">
        <v>22.125900000000001</v>
      </c>
      <c r="I4" s="1"/>
      <c r="J4" s="36"/>
      <c r="K4" s="1">
        <v>23.38</v>
      </c>
      <c r="L4" s="1">
        <v>67.11</v>
      </c>
      <c r="M4" s="1">
        <v>15.35</v>
      </c>
      <c r="N4" s="1"/>
      <c r="O4" s="36"/>
      <c r="P4" s="1">
        <v>35.9</v>
      </c>
      <c r="Q4" s="1">
        <v>25.43</v>
      </c>
      <c r="R4" s="1">
        <v>12.17</v>
      </c>
      <c r="S4" s="1"/>
      <c r="T4" s="36"/>
      <c r="U4" s="1">
        <v>11.78</v>
      </c>
      <c r="V4" s="1">
        <v>75.209999999999994</v>
      </c>
      <c r="W4" s="1">
        <v>6.12</v>
      </c>
      <c r="X4" s="1"/>
      <c r="AA4" s="33" t="s">
        <v>0</v>
      </c>
      <c r="AB4" s="24" t="s">
        <v>24</v>
      </c>
      <c r="AC4" s="40">
        <v>45.78</v>
      </c>
      <c r="AD4" s="12">
        <v>24.6</v>
      </c>
      <c r="AE4" s="12">
        <v>56.95</v>
      </c>
      <c r="AF4" s="8">
        <v>9.0299999999999994</v>
      </c>
      <c r="AG4" s="41">
        <v>38.03</v>
      </c>
      <c r="AH4" s="12">
        <v>28.52</v>
      </c>
      <c r="AI4" s="12">
        <v>27.16</v>
      </c>
      <c r="AJ4" s="18">
        <v>1.32</v>
      </c>
      <c r="AK4" s="41">
        <v>30.33</v>
      </c>
      <c r="AL4" s="12">
        <v>11.28</v>
      </c>
      <c r="AM4" s="12">
        <v>68.599999999999994</v>
      </c>
      <c r="AN4" s="17">
        <v>2.52</v>
      </c>
      <c r="AQ4" s="8">
        <v>0.3</v>
      </c>
      <c r="AR4" s="24">
        <v>17.78</v>
      </c>
      <c r="AS4" s="24">
        <v>64.56</v>
      </c>
      <c r="AT4" s="12">
        <v>4.95</v>
      </c>
      <c r="AW4" s="33"/>
      <c r="AX4" s="24" t="s">
        <v>25</v>
      </c>
      <c r="AY4" s="25">
        <v>2253.6799999999998</v>
      </c>
      <c r="AZ4" s="26">
        <v>22.125900000000001</v>
      </c>
      <c r="BC4" s="58"/>
      <c r="BD4" s="59" t="s">
        <v>66</v>
      </c>
      <c r="BE4" s="73"/>
      <c r="BF4" s="60"/>
      <c r="BG4" s="67">
        <v>127</v>
      </c>
      <c r="BH4" s="56">
        <f t="shared" ref="BH4:BH14" si="0">BG4/200</f>
        <v>0.63500000000000001</v>
      </c>
      <c r="BI4" s="55">
        <v>4</v>
      </c>
      <c r="BJ4" s="56">
        <f>BI4/BE3</f>
        <v>3.0769230769230771E-2</v>
      </c>
      <c r="BK4" s="67">
        <v>1</v>
      </c>
      <c r="BL4" s="71">
        <f>BK4/(200-BE4)</f>
        <v>5.0000000000000001E-3</v>
      </c>
    </row>
    <row r="5" spans="1:64" ht="15" x14ac:dyDescent="0.2">
      <c r="A5" s="36"/>
      <c r="B5" s="1" t="s">
        <v>9</v>
      </c>
      <c r="C5" s="36"/>
      <c r="D5" s="1">
        <v>25.58</v>
      </c>
      <c r="E5" s="1">
        <v>53.72</v>
      </c>
      <c r="F5" s="1">
        <v>11.91</v>
      </c>
      <c r="G5" s="1">
        <v>3623.59</v>
      </c>
      <c r="H5" s="1">
        <v>33.609499999999997</v>
      </c>
      <c r="I5" s="1"/>
      <c r="J5" s="36"/>
      <c r="K5" s="1">
        <v>22.4</v>
      </c>
      <c r="L5" s="1">
        <v>62.3</v>
      </c>
      <c r="M5" s="1">
        <v>9.48</v>
      </c>
      <c r="N5" s="1"/>
      <c r="O5" s="36"/>
      <c r="P5" s="1">
        <v>38.03</v>
      </c>
      <c r="Q5" s="1">
        <v>31.47</v>
      </c>
      <c r="R5" s="1">
        <v>19.309999999999999</v>
      </c>
      <c r="S5" s="1"/>
      <c r="T5" s="36"/>
      <c r="U5" s="1">
        <v>13.03</v>
      </c>
      <c r="V5" s="1">
        <v>70.25</v>
      </c>
      <c r="W5" s="1">
        <v>5.76</v>
      </c>
      <c r="X5" s="1"/>
      <c r="AA5" s="33"/>
      <c r="AB5" s="24" t="s">
        <v>25</v>
      </c>
      <c r="AC5" s="41"/>
      <c r="AD5" s="12">
        <v>23.38</v>
      </c>
      <c r="AE5" s="12">
        <v>67.11</v>
      </c>
      <c r="AF5" s="8">
        <v>15.35</v>
      </c>
      <c r="AG5" s="41"/>
      <c r="AH5" s="12">
        <v>35.9</v>
      </c>
      <c r="AI5" s="12">
        <v>25.43</v>
      </c>
      <c r="AJ5" s="8">
        <v>12.17</v>
      </c>
      <c r="AK5" s="41"/>
      <c r="AL5" s="12">
        <v>11.78</v>
      </c>
      <c r="AM5" s="17">
        <v>75.209999999999994</v>
      </c>
      <c r="AN5" s="12">
        <v>6.12</v>
      </c>
      <c r="AQ5" s="8">
        <v>0.6</v>
      </c>
      <c r="AR5" s="24">
        <v>19.440000000000001</v>
      </c>
      <c r="AS5" s="24">
        <v>65.819999999999993</v>
      </c>
      <c r="AT5" s="12">
        <v>8.91</v>
      </c>
      <c r="AW5" s="33"/>
      <c r="AX5" s="24" t="s">
        <v>45</v>
      </c>
      <c r="AY5" s="25">
        <v>3623.59</v>
      </c>
      <c r="AZ5" s="26">
        <v>33.609499999999997</v>
      </c>
      <c r="BC5" s="61"/>
      <c r="BD5" s="67" t="s">
        <v>67</v>
      </c>
      <c r="BE5" s="74"/>
      <c r="BF5" s="63"/>
      <c r="BG5" s="64">
        <v>102</v>
      </c>
      <c r="BH5" s="65">
        <f t="shared" si="0"/>
        <v>0.51</v>
      </c>
      <c r="BI5" s="64">
        <v>30</v>
      </c>
      <c r="BJ5" s="65">
        <f>BI5/BE3</f>
        <v>0.23076923076923078</v>
      </c>
      <c r="BK5" s="53">
        <v>3</v>
      </c>
      <c r="BL5" s="57">
        <f>BK5/(200-BE5)</f>
        <v>1.4999999999999999E-2</v>
      </c>
    </row>
    <row r="6" spans="1:64" ht="15" x14ac:dyDescent="0.2">
      <c r="A6" s="36"/>
      <c r="B6" s="1" t="s">
        <v>54</v>
      </c>
      <c r="C6" s="36"/>
      <c r="D6">
        <v>17.52</v>
      </c>
      <c r="E6">
        <v>65.89</v>
      </c>
      <c r="F6" s="1">
        <v>6.55</v>
      </c>
      <c r="G6">
        <v>2251.9299999999998</v>
      </c>
      <c r="H6" s="1">
        <v>17.52</v>
      </c>
      <c r="I6" s="1"/>
      <c r="J6" s="36"/>
      <c r="K6" s="1">
        <v>10.4</v>
      </c>
      <c r="L6" s="1">
        <v>82.62</v>
      </c>
      <c r="M6" s="1">
        <v>4.51</v>
      </c>
      <c r="N6" s="1"/>
      <c r="O6" s="36"/>
      <c r="P6" s="1">
        <v>28.85</v>
      </c>
      <c r="Q6" s="1">
        <v>38.36</v>
      </c>
      <c r="R6" s="1">
        <v>8.73</v>
      </c>
      <c r="S6" s="1"/>
      <c r="T6" s="36"/>
      <c r="U6" s="1">
        <v>14.79</v>
      </c>
      <c r="V6" s="1">
        <v>66.94</v>
      </c>
      <c r="W6" s="1">
        <v>6.83</v>
      </c>
      <c r="X6" s="1"/>
      <c r="AA6" s="33"/>
      <c r="AB6" s="24" t="s">
        <v>22</v>
      </c>
      <c r="AC6" s="41"/>
      <c r="AD6" s="12">
        <v>22.4</v>
      </c>
      <c r="AE6" s="12">
        <v>62.3</v>
      </c>
      <c r="AF6" s="8">
        <v>9.48</v>
      </c>
      <c r="AG6" s="41"/>
      <c r="AH6" s="12">
        <v>38.03</v>
      </c>
      <c r="AI6" s="12">
        <v>31.47</v>
      </c>
      <c r="AJ6" s="8">
        <v>19.309999999999999</v>
      </c>
      <c r="AK6" s="41"/>
      <c r="AL6" s="12">
        <v>13.03</v>
      </c>
      <c r="AM6" s="12">
        <v>70.25</v>
      </c>
      <c r="AN6" s="12">
        <v>5.76</v>
      </c>
      <c r="AQ6" s="5">
        <v>0.9</v>
      </c>
      <c r="AR6" s="23">
        <v>18.89</v>
      </c>
      <c r="AS6" s="23">
        <v>65.819999999999993</v>
      </c>
      <c r="AT6" s="16">
        <v>7.92</v>
      </c>
      <c r="AW6" s="33"/>
      <c r="AX6" s="24" t="s">
        <v>55</v>
      </c>
      <c r="AY6" s="25">
        <v>2251.9299999999998</v>
      </c>
      <c r="AZ6" s="26">
        <v>17.52</v>
      </c>
      <c r="BC6" s="58" t="s">
        <v>68</v>
      </c>
      <c r="BD6" s="59" t="s">
        <v>65</v>
      </c>
      <c r="BE6" s="58">
        <v>53</v>
      </c>
      <c r="BF6" s="60">
        <f t="shared" ref="BF4:BF14" si="1">BE6/200</f>
        <v>0.26500000000000001</v>
      </c>
      <c r="BG6" s="67">
        <v>44</v>
      </c>
      <c r="BH6" s="56">
        <f t="shared" si="0"/>
        <v>0.22</v>
      </c>
      <c r="BI6" s="55">
        <v>10</v>
      </c>
      <c r="BJ6" s="56">
        <f t="shared" ref="BJ5:BJ14" si="2">BI6/BE6</f>
        <v>0.18867924528301888</v>
      </c>
      <c r="BK6" s="55">
        <v>1</v>
      </c>
      <c r="BL6" s="71">
        <f t="shared" ref="BL6:BL14" si="3">BK6/(200-BE6)</f>
        <v>6.8027210884353739E-3</v>
      </c>
    </row>
    <row r="7" spans="1:64" ht="15" x14ac:dyDescent="0.2">
      <c r="A7" s="36"/>
      <c r="B7" s="1" t="s">
        <v>4</v>
      </c>
      <c r="C7" s="36"/>
      <c r="D7" s="1">
        <v>17.579999999999998</v>
      </c>
      <c r="E7" s="1">
        <v>65.150000000000006</v>
      </c>
      <c r="F7" s="1">
        <v>6.18</v>
      </c>
      <c r="G7" s="1">
        <v>207.21</v>
      </c>
      <c r="H7" s="1">
        <v>6.4598000000000004</v>
      </c>
      <c r="I7" s="1"/>
      <c r="J7" s="36"/>
      <c r="K7" s="1">
        <v>10.4</v>
      </c>
      <c r="L7" s="1">
        <v>85.56</v>
      </c>
      <c r="M7" s="1">
        <v>7</v>
      </c>
      <c r="N7" s="1"/>
      <c r="O7" s="36"/>
      <c r="P7" s="1">
        <v>31.97</v>
      </c>
      <c r="Q7" s="1">
        <v>27.16</v>
      </c>
      <c r="R7" s="1">
        <v>6.88</v>
      </c>
      <c r="S7" s="1"/>
      <c r="T7" s="36"/>
      <c r="U7" s="1">
        <v>10.28</v>
      </c>
      <c r="V7" s="1">
        <v>74.38</v>
      </c>
      <c r="W7" s="1">
        <v>3.6</v>
      </c>
      <c r="X7" s="1"/>
      <c r="AA7" s="33"/>
      <c r="AB7" s="44" t="s">
        <v>55</v>
      </c>
      <c r="AC7" s="41"/>
      <c r="AD7" s="12">
        <v>10.4</v>
      </c>
      <c r="AE7" s="12">
        <v>82.62</v>
      </c>
      <c r="AF7" s="8">
        <v>4.51</v>
      </c>
      <c r="AG7" s="41"/>
      <c r="AH7" s="12">
        <v>28.85</v>
      </c>
      <c r="AI7" s="12">
        <v>38.36</v>
      </c>
      <c r="AJ7" s="8">
        <v>8.73</v>
      </c>
      <c r="AK7" s="41"/>
      <c r="AL7" s="12">
        <v>14.79</v>
      </c>
      <c r="AM7" s="12">
        <v>66.94</v>
      </c>
      <c r="AN7" s="48">
        <v>6.83</v>
      </c>
      <c r="AO7" s="49"/>
      <c r="AW7" s="34"/>
      <c r="AX7" s="23" t="s">
        <v>50</v>
      </c>
      <c r="AY7" s="27">
        <v>2095.5500000000002</v>
      </c>
      <c r="AZ7" s="28">
        <v>22.114799999999999</v>
      </c>
      <c r="BC7" s="58"/>
      <c r="BD7" s="67" t="s">
        <v>66</v>
      </c>
      <c r="BE7" s="58"/>
      <c r="BF7" s="60"/>
      <c r="BG7" s="67">
        <v>47</v>
      </c>
      <c r="BH7" s="56">
        <f t="shared" si="0"/>
        <v>0.23499999999999999</v>
      </c>
      <c r="BI7" s="55">
        <v>6</v>
      </c>
      <c r="BJ7" s="56">
        <f>BI7/BE6</f>
        <v>0.11320754716981132</v>
      </c>
      <c r="BK7" s="69">
        <v>0</v>
      </c>
      <c r="BL7" s="70">
        <f t="shared" si="3"/>
        <v>0</v>
      </c>
    </row>
    <row r="8" spans="1:64" ht="15" x14ac:dyDescent="0.2">
      <c r="A8" s="36"/>
      <c r="B8" s="1" t="s">
        <v>21</v>
      </c>
      <c r="C8" s="36"/>
      <c r="D8" s="1">
        <v>15.55</v>
      </c>
      <c r="E8" s="1">
        <v>66.709999999999994</v>
      </c>
      <c r="F8" s="1">
        <v>3.91</v>
      </c>
      <c r="G8" s="1">
        <v>3190.56</v>
      </c>
      <c r="H8" s="1">
        <v>17.849</v>
      </c>
      <c r="I8" s="36">
        <v>72.760000000000005</v>
      </c>
      <c r="J8" s="36"/>
      <c r="K8" s="1">
        <v>7.34</v>
      </c>
      <c r="L8" s="1">
        <v>86.9</v>
      </c>
      <c r="M8" s="1">
        <v>2.48</v>
      </c>
      <c r="N8" s="36">
        <v>90.37</v>
      </c>
      <c r="O8" s="36"/>
      <c r="P8" s="1">
        <v>30.49</v>
      </c>
      <c r="Q8" s="1">
        <v>28.45</v>
      </c>
      <c r="R8" s="1">
        <v>5.29</v>
      </c>
      <c r="S8" s="36">
        <v>39.22</v>
      </c>
      <c r="T8" s="36"/>
      <c r="U8" s="1">
        <v>9.52</v>
      </c>
      <c r="V8" s="1">
        <v>77.69</v>
      </c>
      <c r="W8" s="1">
        <v>4.32</v>
      </c>
      <c r="X8" s="36">
        <v>82.64</v>
      </c>
      <c r="AA8" s="34"/>
      <c r="AB8" s="23" t="s">
        <v>50</v>
      </c>
      <c r="AC8" s="42"/>
      <c r="AD8" s="14">
        <v>6.61</v>
      </c>
      <c r="AE8" s="14">
        <v>87.97</v>
      </c>
      <c r="AF8" s="15">
        <v>2.0299999999999998</v>
      </c>
      <c r="AG8" s="42"/>
      <c r="AH8" s="14">
        <v>26.39</v>
      </c>
      <c r="AI8" s="14">
        <v>35.78</v>
      </c>
      <c r="AJ8" s="5">
        <v>3.17</v>
      </c>
      <c r="AK8" s="42"/>
      <c r="AL8" s="14">
        <v>10.53</v>
      </c>
      <c r="AM8" s="16">
        <v>74.38</v>
      </c>
      <c r="AN8" s="16">
        <v>3.96</v>
      </c>
      <c r="AW8" s="35" t="s">
        <v>1</v>
      </c>
      <c r="AX8" s="24" t="s">
        <v>24</v>
      </c>
      <c r="AY8" s="25">
        <v>94.58</v>
      </c>
      <c r="AZ8" s="26">
        <v>12.401999999999999</v>
      </c>
      <c r="BC8" s="61"/>
      <c r="BD8" s="62" t="s">
        <v>67</v>
      </c>
      <c r="BE8" s="61"/>
      <c r="BF8" s="63"/>
      <c r="BG8" s="64">
        <v>41</v>
      </c>
      <c r="BH8" s="65">
        <f t="shared" si="0"/>
        <v>0.20499999999999999</v>
      </c>
      <c r="BI8" s="64">
        <v>14</v>
      </c>
      <c r="BJ8" s="65">
        <f>BI8/BE6</f>
        <v>0.26415094339622641</v>
      </c>
      <c r="BK8" s="53">
        <v>2</v>
      </c>
      <c r="BL8" s="57">
        <f t="shared" si="3"/>
        <v>0.01</v>
      </c>
    </row>
    <row r="9" spans="1:64" ht="15" x14ac:dyDescent="0.2">
      <c r="A9" s="36"/>
      <c r="B9" s="1" t="s">
        <v>14</v>
      </c>
      <c r="C9" s="36"/>
      <c r="D9" s="1">
        <v>19.11</v>
      </c>
      <c r="E9" s="1">
        <v>64.239999999999995</v>
      </c>
      <c r="F9" s="1">
        <v>8.1</v>
      </c>
      <c r="G9" s="1">
        <v>3441.64</v>
      </c>
      <c r="H9" s="1">
        <v>20.038900000000002</v>
      </c>
      <c r="I9" s="36"/>
      <c r="J9" s="36"/>
      <c r="K9" s="1">
        <v>8.69</v>
      </c>
      <c r="L9" s="1">
        <v>85.56</v>
      </c>
      <c r="M9" s="1">
        <v>3.84</v>
      </c>
      <c r="N9" s="36"/>
      <c r="O9" s="36"/>
      <c r="P9" s="1">
        <v>31.8</v>
      </c>
      <c r="Q9" s="1">
        <v>29.74</v>
      </c>
      <c r="R9" s="1">
        <v>8.1999999999999993</v>
      </c>
      <c r="S9" s="36"/>
      <c r="T9" s="36"/>
      <c r="U9" s="1">
        <v>21.05</v>
      </c>
      <c r="V9" s="1">
        <v>64.459999999999994</v>
      </c>
      <c r="W9" s="1">
        <v>14.75</v>
      </c>
      <c r="X9" s="36"/>
      <c r="AA9" s="35" t="s">
        <v>1</v>
      </c>
      <c r="AB9" s="24" t="s">
        <v>24</v>
      </c>
      <c r="AC9" s="43">
        <v>26.95</v>
      </c>
      <c r="AD9" s="13">
        <v>18.12</v>
      </c>
      <c r="AE9" s="13">
        <v>38.68</v>
      </c>
      <c r="AF9" s="11">
        <v>2.98</v>
      </c>
      <c r="AG9" s="43">
        <v>19.18</v>
      </c>
      <c r="AH9" s="13">
        <v>17.05</v>
      </c>
      <c r="AI9" s="13">
        <v>15.38</v>
      </c>
      <c r="AJ9" s="11">
        <v>1.01</v>
      </c>
      <c r="AK9" s="43">
        <v>8.77</v>
      </c>
      <c r="AL9" s="13">
        <v>7.52</v>
      </c>
      <c r="AM9" s="13">
        <v>20</v>
      </c>
      <c r="AN9" s="13">
        <v>0.55000000000000004</v>
      </c>
      <c r="AW9" s="33"/>
      <c r="AX9" s="24" t="s">
        <v>25</v>
      </c>
      <c r="AY9" s="25">
        <v>6743.49</v>
      </c>
      <c r="AZ9" s="26">
        <v>114.9687</v>
      </c>
      <c r="BC9" s="58" t="s">
        <v>70</v>
      </c>
      <c r="BD9" s="59" t="s">
        <v>65</v>
      </c>
      <c r="BE9" s="58">
        <v>97</v>
      </c>
      <c r="BF9" s="60">
        <f t="shared" si="1"/>
        <v>0.48499999999999999</v>
      </c>
      <c r="BG9" s="67">
        <v>87</v>
      </c>
      <c r="BH9" s="56">
        <f t="shared" si="0"/>
        <v>0.435</v>
      </c>
      <c r="BI9" s="55">
        <v>12</v>
      </c>
      <c r="BJ9" s="56">
        <f t="shared" si="2"/>
        <v>0.12371134020618557</v>
      </c>
      <c r="BK9" s="69">
        <v>2</v>
      </c>
      <c r="BL9" s="70">
        <f t="shared" si="3"/>
        <v>1.9417475728155338E-2</v>
      </c>
    </row>
    <row r="10" spans="1:64" ht="15" x14ac:dyDescent="0.2">
      <c r="A10" s="36"/>
      <c r="B10" s="1" t="s">
        <v>12</v>
      </c>
      <c r="C10" s="36"/>
      <c r="D10" s="1">
        <v>14.07</v>
      </c>
      <c r="E10" s="1">
        <v>69.05</v>
      </c>
      <c r="F10" s="1">
        <v>2.91</v>
      </c>
      <c r="G10" s="1">
        <v>4191.1000000000004</v>
      </c>
      <c r="H10" s="1">
        <v>22.114799999999999</v>
      </c>
      <c r="I10" s="36"/>
      <c r="J10" s="36"/>
      <c r="K10" s="1">
        <v>6.61</v>
      </c>
      <c r="L10" s="1">
        <v>87.97</v>
      </c>
      <c r="M10" s="1">
        <v>2.0299999999999998</v>
      </c>
      <c r="N10" s="36"/>
      <c r="O10" s="36"/>
      <c r="P10" s="1">
        <v>26.39</v>
      </c>
      <c r="Q10" s="1">
        <v>35.78</v>
      </c>
      <c r="R10" s="1">
        <v>3.17</v>
      </c>
      <c r="S10" s="36"/>
      <c r="T10" s="36"/>
      <c r="U10" s="1">
        <v>10.53</v>
      </c>
      <c r="V10" s="1">
        <v>74.38</v>
      </c>
      <c r="W10" s="1">
        <v>3.96</v>
      </c>
      <c r="X10" s="36"/>
      <c r="AA10" s="33"/>
      <c r="AB10" s="24" t="s">
        <v>23</v>
      </c>
      <c r="AC10" s="41"/>
      <c r="AD10" s="12">
        <v>16.77</v>
      </c>
      <c r="AE10" s="12">
        <v>57.08</v>
      </c>
      <c r="AF10" s="8">
        <v>7.6</v>
      </c>
      <c r="AG10" s="41"/>
      <c r="AH10" s="12">
        <v>22.3</v>
      </c>
      <c r="AI10" s="12">
        <v>17.95</v>
      </c>
      <c r="AJ10" s="8">
        <v>8.11</v>
      </c>
      <c r="AK10" s="41"/>
      <c r="AL10" s="12">
        <v>9.52</v>
      </c>
      <c r="AM10" s="12">
        <v>28.57</v>
      </c>
      <c r="AN10" s="12">
        <v>3.57</v>
      </c>
      <c r="AW10" s="33"/>
      <c r="AX10" s="24" t="s">
        <v>45</v>
      </c>
      <c r="AY10" s="25">
        <v>7320.52</v>
      </c>
      <c r="AZ10" s="26">
        <v>113.2599</v>
      </c>
      <c r="BC10" s="58"/>
      <c r="BD10" s="68" t="s">
        <v>66</v>
      </c>
      <c r="BE10" s="58"/>
      <c r="BF10" s="60"/>
      <c r="BG10" s="67">
        <v>62</v>
      </c>
      <c r="BH10" s="56">
        <f t="shared" si="0"/>
        <v>0.31</v>
      </c>
      <c r="BI10" s="55">
        <v>37</v>
      </c>
      <c r="BJ10" s="56">
        <f>BI10/BE9</f>
        <v>0.38144329896907214</v>
      </c>
      <c r="BK10" s="69">
        <v>2</v>
      </c>
      <c r="BL10" s="70">
        <f t="shared" si="3"/>
        <v>0.01</v>
      </c>
    </row>
    <row r="11" spans="1:64" ht="15" x14ac:dyDescent="0.2">
      <c r="A11" s="36" t="s">
        <v>1</v>
      </c>
      <c r="B11" s="1" t="s">
        <v>5</v>
      </c>
      <c r="C11" s="36">
        <v>19.93</v>
      </c>
      <c r="D11" s="1">
        <v>15.44</v>
      </c>
      <c r="E11" s="1">
        <v>29.4</v>
      </c>
      <c r="F11" s="1">
        <v>1.71</v>
      </c>
      <c r="G11" s="1">
        <v>94.58</v>
      </c>
      <c r="H11">
        <v>12.401999999999999</v>
      </c>
      <c r="J11" s="36">
        <v>25.95</v>
      </c>
      <c r="K11" s="1">
        <v>18.12</v>
      </c>
      <c r="L11" s="1">
        <v>38.68</v>
      </c>
      <c r="M11" s="1">
        <v>2.98</v>
      </c>
      <c r="O11" s="36">
        <v>19.18</v>
      </c>
      <c r="P11">
        <v>17.05</v>
      </c>
      <c r="Q11">
        <v>15.38</v>
      </c>
      <c r="R11" s="1">
        <v>1.01</v>
      </c>
      <c r="T11" s="36">
        <v>8.77</v>
      </c>
      <c r="U11">
        <v>7.52</v>
      </c>
      <c r="V11" s="1">
        <v>20</v>
      </c>
      <c r="W11">
        <v>0.55000000000000004</v>
      </c>
      <c r="AA11" s="33"/>
      <c r="AB11" s="24" t="s">
        <v>22</v>
      </c>
      <c r="AC11" s="41"/>
      <c r="AD11" s="12">
        <v>13.83</v>
      </c>
      <c r="AE11" s="12">
        <v>57.55</v>
      </c>
      <c r="AF11" s="8">
        <v>3.8</v>
      </c>
      <c r="AG11" s="41"/>
      <c r="AH11" s="12">
        <v>22.62</v>
      </c>
      <c r="AI11" s="12">
        <v>15.38</v>
      </c>
      <c r="AJ11" s="8">
        <v>7.91</v>
      </c>
      <c r="AK11" s="41"/>
      <c r="AL11" s="12">
        <v>8.02</v>
      </c>
      <c r="AM11" s="12">
        <v>54.29</v>
      </c>
      <c r="AN11" s="12">
        <v>4.4000000000000004</v>
      </c>
      <c r="AW11" s="33"/>
      <c r="AX11" s="44" t="s">
        <v>55</v>
      </c>
      <c r="AY11" s="25">
        <v>2207.91</v>
      </c>
      <c r="AZ11" s="26">
        <v>90.64</v>
      </c>
      <c r="BC11" s="61"/>
      <c r="BD11" s="67" t="s">
        <v>67</v>
      </c>
      <c r="BE11" s="61"/>
      <c r="BF11" s="63"/>
      <c r="BG11" s="64">
        <v>58</v>
      </c>
      <c r="BH11" s="65">
        <f t="shared" si="0"/>
        <v>0.28999999999999998</v>
      </c>
      <c r="BI11" s="64">
        <v>41</v>
      </c>
      <c r="BJ11" s="65">
        <f>BI11/BE9</f>
        <v>0.42268041237113402</v>
      </c>
      <c r="BK11" s="64">
        <v>2</v>
      </c>
      <c r="BL11" s="66">
        <f t="shared" si="3"/>
        <v>0.01</v>
      </c>
    </row>
    <row r="12" spans="1:64" ht="15" x14ac:dyDescent="0.2">
      <c r="A12" s="36"/>
      <c r="B12" s="1" t="s">
        <v>6</v>
      </c>
      <c r="C12" s="36"/>
      <c r="D12">
        <v>17.03</v>
      </c>
      <c r="E12">
        <v>41.76</v>
      </c>
      <c r="F12" s="1">
        <v>6.77</v>
      </c>
      <c r="G12">
        <v>6743.49</v>
      </c>
      <c r="H12">
        <v>114.9687</v>
      </c>
      <c r="J12" s="36"/>
      <c r="K12">
        <v>16.77</v>
      </c>
      <c r="L12" s="1">
        <v>57.08</v>
      </c>
      <c r="M12">
        <v>7.6</v>
      </c>
      <c r="O12" s="36"/>
      <c r="P12" s="1">
        <v>22.3</v>
      </c>
      <c r="Q12" s="1">
        <v>17.95</v>
      </c>
      <c r="R12" s="1">
        <v>8.11</v>
      </c>
      <c r="T12" s="36"/>
      <c r="U12" s="1">
        <v>9.52</v>
      </c>
      <c r="V12" s="1">
        <v>28.57</v>
      </c>
      <c r="W12" s="1">
        <v>3.57</v>
      </c>
      <c r="AA12" s="33"/>
      <c r="AB12" s="44" t="s">
        <v>55</v>
      </c>
      <c r="AC12" s="41"/>
      <c r="AD12" s="12">
        <v>8.57</v>
      </c>
      <c r="AE12" s="12">
        <v>73.58</v>
      </c>
      <c r="AF12" s="8">
        <v>2.31</v>
      </c>
      <c r="AG12" s="41"/>
      <c r="AH12" s="12">
        <v>16.89</v>
      </c>
      <c r="AI12" s="12">
        <v>31.62</v>
      </c>
      <c r="AJ12" s="8">
        <v>4.67</v>
      </c>
      <c r="AK12" s="41"/>
      <c r="AL12" s="12">
        <v>8.52</v>
      </c>
      <c r="AM12" s="12">
        <v>31.43</v>
      </c>
      <c r="AN12" s="48">
        <v>2.75</v>
      </c>
      <c r="AO12" s="49"/>
      <c r="AW12" s="34"/>
      <c r="AX12" s="23" t="s">
        <v>50</v>
      </c>
      <c r="AY12" s="27">
        <v>1804.96</v>
      </c>
      <c r="AZ12" s="28">
        <v>168.54599999999999</v>
      </c>
      <c r="BC12" s="58" t="s">
        <v>69</v>
      </c>
      <c r="BD12" s="59" t="s">
        <v>65</v>
      </c>
      <c r="BE12" s="58">
        <v>158</v>
      </c>
      <c r="BF12" s="60">
        <f t="shared" si="1"/>
        <v>0.79</v>
      </c>
      <c r="BG12" s="67">
        <v>157</v>
      </c>
      <c r="BH12" s="56">
        <f t="shared" si="0"/>
        <v>0.78500000000000003</v>
      </c>
      <c r="BI12" s="55">
        <v>7</v>
      </c>
      <c r="BJ12" s="56">
        <f t="shared" si="2"/>
        <v>4.4303797468354431E-2</v>
      </c>
      <c r="BK12" s="55">
        <v>6</v>
      </c>
      <c r="BL12" s="71">
        <f t="shared" si="3"/>
        <v>0.14285714285714285</v>
      </c>
    </row>
    <row r="13" spans="1:64" ht="15" x14ac:dyDescent="0.2">
      <c r="A13" s="36"/>
      <c r="B13" s="1" t="s">
        <v>9</v>
      </c>
      <c r="C13" s="36"/>
      <c r="D13">
        <v>15.5</v>
      </c>
      <c r="E13">
        <v>43.68</v>
      </c>
      <c r="F13">
        <v>5.34</v>
      </c>
      <c r="G13">
        <v>7320.52</v>
      </c>
      <c r="H13">
        <v>113.2599</v>
      </c>
      <c r="J13" s="36"/>
      <c r="K13" s="1">
        <v>13.83</v>
      </c>
      <c r="L13">
        <v>57.55</v>
      </c>
      <c r="M13">
        <v>3.8</v>
      </c>
      <c r="O13" s="36"/>
      <c r="P13">
        <v>22.62</v>
      </c>
      <c r="Q13">
        <v>15.38</v>
      </c>
      <c r="R13" s="1">
        <v>7.91</v>
      </c>
      <c r="T13" s="36"/>
      <c r="U13">
        <v>8.02</v>
      </c>
      <c r="V13">
        <v>54.29</v>
      </c>
      <c r="W13" s="1">
        <v>4.4000000000000004</v>
      </c>
      <c r="AA13" s="33"/>
      <c r="AB13" s="23" t="s">
        <v>50</v>
      </c>
      <c r="AC13" s="41"/>
      <c r="AD13" s="14">
        <v>5.14</v>
      </c>
      <c r="AE13" s="14">
        <v>80.19</v>
      </c>
      <c r="AF13" s="15">
        <v>0</v>
      </c>
      <c r="AG13" s="41"/>
      <c r="AH13" s="14">
        <v>14.1</v>
      </c>
      <c r="AI13" s="14">
        <v>29.91</v>
      </c>
      <c r="AJ13" s="15">
        <v>0.81</v>
      </c>
      <c r="AK13" s="41"/>
      <c r="AL13" s="14">
        <v>4.01</v>
      </c>
      <c r="AM13" s="14">
        <v>54.29</v>
      </c>
      <c r="AN13" s="14">
        <v>0</v>
      </c>
      <c r="AW13" s="35" t="s">
        <v>13</v>
      </c>
      <c r="AX13" s="24" t="s">
        <v>24</v>
      </c>
      <c r="AY13" s="25">
        <v>95.45</v>
      </c>
      <c r="AZ13" s="26">
        <v>3.6791999999999998</v>
      </c>
      <c r="BC13" s="58"/>
      <c r="BD13" s="68" t="s">
        <v>66</v>
      </c>
      <c r="BE13" s="58"/>
      <c r="BF13" s="60"/>
      <c r="BG13" s="67">
        <v>151</v>
      </c>
      <c r="BH13" s="56">
        <f t="shared" si="0"/>
        <v>0.755</v>
      </c>
      <c r="BI13" s="55">
        <v>7</v>
      </c>
      <c r="BJ13" s="56">
        <f>BI13/BE12</f>
        <v>4.4303797468354431E-2</v>
      </c>
      <c r="BK13" s="69">
        <v>0</v>
      </c>
      <c r="BL13" s="70">
        <f t="shared" si="3"/>
        <v>0</v>
      </c>
    </row>
    <row r="14" spans="1:64" ht="15" x14ac:dyDescent="0.2">
      <c r="A14" s="36"/>
      <c r="B14" s="1" t="s">
        <v>54</v>
      </c>
      <c r="C14" s="36"/>
      <c r="D14" s="1">
        <v>11.34</v>
      </c>
      <c r="E14" s="1">
        <v>56.04</v>
      </c>
      <c r="F14" s="1">
        <v>3.21</v>
      </c>
      <c r="G14" s="1">
        <v>2207.91</v>
      </c>
      <c r="H14" s="1">
        <v>90.64</v>
      </c>
      <c r="J14" s="36"/>
      <c r="K14" s="1">
        <v>8.57</v>
      </c>
      <c r="L14" s="1">
        <v>73.58</v>
      </c>
      <c r="M14" s="1">
        <v>2.31</v>
      </c>
      <c r="O14" s="36"/>
      <c r="P14" s="1">
        <v>16.89</v>
      </c>
      <c r="Q14" s="1">
        <v>31.62</v>
      </c>
      <c r="R14" s="1">
        <v>4.67</v>
      </c>
      <c r="T14" s="36"/>
      <c r="U14" s="1">
        <v>8.52</v>
      </c>
      <c r="V14" s="1">
        <v>31.43</v>
      </c>
      <c r="W14" s="1">
        <v>2.75</v>
      </c>
      <c r="AA14" s="35" t="s">
        <v>13</v>
      </c>
      <c r="AB14" s="24" t="s">
        <v>24</v>
      </c>
      <c r="AC14" s="43">
        <v>28.64</v>
      </c>
      <c r="AD14" s="13">
        <v>17.38</v>
      </c>
      <c r="AE14" s="13">
        <v>42.31</v>
      </c>
      <c r="AF14" s="11">
        <v>1.2</v>
      </c>
      <c r="AG14" s="43">
        <v>40.82</v>
      </c>
      <c r="AH14" s="13">
        <v>38.85</v>
      </c>
      <c r="AI14" s="13">
        <v>7.23</v>
      </c>
      <c r="AJ14" s="11">
        <v>1.66</v>
      </c>
      <c r="AK14" s="43">
        <v>16.04</v>
      </c>
      <c r="AL14" s="13">
        <v>12.03</v>
      </c>
      <c r="AM14" s="13">
        <v>26.56</v>
      </c>
      <c r="AN14" s="13">
        <v>0.3</v>
      </c>
      <c r="AW14" s="33"/>
      <c r="AX14" s="24" t="s">
        <v>25</v>
      </c>
      <c r="AY14" s="25">
        <v>3620.41</v>
      </c>
      <c r="AZ14" s="26">
        <v>26.883299999999998</v>
      </c>
      <c r="BC14" s="61"/>
      <c r="BD14" s="67" t="s">
        <v>67</v>
      </c>
      <c r="BE14" s="61"/>
      <c r="BF14" s="63"/>
      <c r="BG14" s="64">
        <v>90</v>
      </c>
      <c r="BH14" s="65">
        <f t="shared" si="0"/>
        <v>0.45</v>
      </c>
      <c r="BI14" s="64">
        <v>71</v>
      </c>
      <c r="BJ14" s="65">
        <f>BI14/BE12</f>
        <v>0.44936708860759494</v>
      </c>
      <c r="BK14" s="53">
        <v>3</v>
      </c>
      <c r="BL14" s="57">
        <f t="shared" si="3"/>
        <v>1.4999999999999999E-2</v>
      </c>
    </row>
    <row r="15" spans="1:64" ht="15" x14ac:dyDescent="0.2">
      <c r="A15" s="36"/>
      <c r="B15" s="1" t="s">
        <v>4</v>
      </c>
      <c r="C15" s="36"/>
      <c r="D15">
        <v>11.66</v>
      </c>
      <c r="E15">
        <v>49.45</v>
      </c>
      <c r="F15">
        <v>2.0499999999999998</v>
      </c>
      <c r="G15">
        <v>194.27</v>
      </c>
      <c r="H15">
        <v>17.3841</v>
      </c>
      <c r="J15" s="36"/>
      <c r="K15">
        <v>8.1999999999999993</v>
      </c>
      <c r="L15">
        <v>72.17</v>
      </c>
      <c r="M15">
        <v>1.49</v>
      </c>
      <c r="O15" s="36"/>
      <c r="P15">
        <v>20.16</v>
      </c>
      <c r="Q15">
        <v>10.26</v>
      </c>
      <c r="R15">
        <v>3.65</v>
      </c>
      <c r="T15" s="36"/>
      <c r="U15" s="1">
        <v>5.76</v>
      </c>
      <c r="V15" s="1">
        <v>42.86</v>
      </c>
      <c r="W15" s="1">
        <v>0.82</v>
      </c>
      <c r="AA15" s="33"/>
      <c r="AB15" s="24" t="s">
        <v>23</v>
      </c>
      <c r="AC15" s="41"/>
      <c r="AD15" s="12">
        <v>31.46</v>
      </c>
      <c r="AE15" s="12">
        <v>47.86</v>
      </c>
      <c r="AF15" s="8">
        <v>23.16</v>
      </c>
      <c r="AG15" s="41"/>
      <c r="AH15" s="12">
        <v>48.2</v>
      </c>
      <c r="AI15" s="12">
        <v>14.06</v>
      </c>
      <c r="AJ15" s="8">
        <v>22.16</v>
      </c>
      <c r="AK15" s="41"/>
      <c r="AL15" s="12">
        <v>28.07</v>
      </c>
      <c r="AM15" s="12">
        <v>35.94</v>
      </c>
      <c r="AN15" s="12">
        <v>21.19</v>
      </c>
      <c r="AW15" s="33"/>
      <c r="AX15" s="24" t="s">
        <v>45</v>
      </c>
      <c r="AY15" s="25">
        <v>3227.44</v>
      </c>
      <c r="AZ15" s="26">
        <v>24.215399999999999</v>
      </c>
    </row>
    <row r="16" spans="1:64" ht="15" x14ac:dyDescent="0.2">
      <c r="A16" s="36"/>
      <c r="B16" s="1" t="s">
        <v>21</v>
      </c>
      <c r="C16" s="36"/>
      <c r="D16">
        <v>10.08</v>
      </c>
      <c r="E16">
        <v>51.37</v>
      </c>
      <c r="F16">
        <v>0.48</v>
      </c>
      <c r="G16">
        <v>3227.5</v>
      </c>
      <c r="H16">
        <v>147.7028</v>
      </c>
      <c r="I16" s="36">
        <v>65.11</v>
      </c>
      <c r="J16" s="36"/>
      <c r="K16">
        <v>7.47</v>
      </c>
      <c r="L16">
        <v>71.23</v>
      </c>
      <c r="M16">
        <v>0</v>
      </c>
      <c r="N16" s="36">
        <v>80.66</v>
      </c>
      <c r="O16" s="36"/>
      <c r="P16">
        <v>17.05</v>
      </c>
      <c r="Q16">
        <v>16.239999999999998</v>
      </c>
      <c r="R16" s="1">
        <v>1.22</v>
      </c>
      <c r="S16" s="36">
        <v>34.19</v>
      </c>
      <c r="T16" s="36"/>
      <c r="U16">
        <v>4.76</v>
      </c>
      <c r="V16" s="1">
        <v>48.57</v>
      </c>
      <c r="W16" s="1">
        <v>0.27</v>
      </c>
      <c r="X16" s="36">
        <v>74.290000000000006</v>
      </c>
      <c r="AA16" s="33"/>
      <c r="AB16" s="24" t="s">
        <v>22</v>
      </c>
      <c r="AC16" s="41"/>
      <c r="AD16" s="12">
        <v>53.12</v>
      </c>
      <c r="AE16" s="12">
        <v>16.670000000000002</v>
      </c>
      <c r="AF16" s="8">
        <v>40.82</v>
      </c>
      <c r="AG16" s="41"/>
      <c r="AH16" s="12">
        <v>66.89</v>
      </c>
      <c r="AI16" s="12">
        <v>9.64</v>
      </c>
      <c r="AJ16" s="8">
        <v>50.69</v>
      </c>
      <c r="AK16" s="41"/>
      <c r="AL16" s="12">
        <v>42.11</v>
      </c>
      <c r="AM16" s="12">
        <v>21.88</v>
      </c>
      <c r="AN16" s="12">
        <v>35.22</v>
      </c>
      <c r="AW16" s="33"/>
      <c r="AX16" s="44" t="s">
        <v>55</v>
      </c>
      <c r="AY16" s="25">
        <v>2300.7399999999998</v>
      </c>
      <c r="AZ16" s="26">
        <v>19.05</v>
      </c>
    </row>
    <row r="17" spans="1:52" ht="15" x14ac:dyDescent="0.2">
      <c r="A17" s="36"/>
      <c r="B17" s="1" t="s">
        <v>14</v>
      </c>
      <c r="C17" s="36"/>
      <c r="D17">
        <v>9.15</v>
      </c>
      <c r="E17">
        <v>56.59</v>
      </c>
      <c r="F17">
        <v>0.62</v>
      </c>
      <c r="G17">
        <v>3337.4</v>
      </c>
      <c r="H17">
        <v>159.09700000000001</v>
      </c>
      <c r="I17" s="36"/>
      <c r="J17" s="36"/>
      <c r="K17">
        <v>5.88</v>
      </c>
      <c r="L17">
        <v>77.36</v>
      </c>
      <c r="M17">
        <v>0</v>
      </c>
      <c r="N17" s="36"/>
      <c r="O17" s="36"/>
      <c r="P17">
        <v>16.07</v>
      </c>
      <c r="Q17">
        <v>22.22</v>
      </c>
      <c r="R17" s="1">
        <v>1.42</v>
      </c>
      <c r="S17" s="36"/>
      <c r="T17" s="36"/>
      <c r="U17" s="1">
        <v>5.26</v>
      </c>
      <c r="V17" s="1">
        <v>45.71</v>
      </c>
      <c r="W17" s="1">
        <v>0.55000000000000004</v>
      </c>
      <c r="X17" s="36"/>
      <c r="AA17" s="33"/>
      <c r="AB17" s="44" t="s">
        <v>55</v>
      </c>
      <c r="AC17" s="41"/>
      <c r="AD17" s="12">
        <v>16.649999999999999</v>
      </c>
      <c r="AE17" s="12">
        <v>55.98</v>
      </c>
      <c r="AF17" s="8">
        <v>5.69</v>
      </c>
      <c r="AG17" s="41"/>
      <c r="AH17" s="12">
        <v>26.72</v>
      </c>
      <c r="AI17" s="12">
        <v>44.98</v>
      </c>
      <c r="AJ17" s="8">
        <v>7.2</v>
      </c>
      <c r="AK17" s="41"/>
      <c r="AL17" s="12">
        <v>8.77</v>
      </c>
      <c r="AM17" s="12">
        <v>54.69</v>
      </c>
      <c r="AN17" s="48">
        <v>1.79</v>
      </c>
      <c r="AO17" s="48"/>
      <c r="AW17" s="34"/>
      <c r="AX17" s="23" t="s">
        <v>50</v>
      </c>
      <c r="AY17" s="27">
        <v>2268.11</v>
      </c>
      <c r="AZ17" s="28">
        <v>52.032899999999998</v>
      </c>
    </row>
    <row r="18" spans="1:52" ht="15" x14ac:dyDescent="0.2">
      <c r="A18" s="36"/>
      <c r="B18" s="1" t="s">
        <v>12</v>
      </c>
      <c r="C18" s="36"/>
      <c r="D18">
        <v>7.89</v>
      </c>
      <c r="E18">
        <v>61.54</v>
      </c>
      <c r="F18">
        <v>0.27</v>
      </c>
      <c r="G18">
        <v>3609.91</v>
      </c>
      <c r="H18">
        <v>168.54599999999999</v>
      </c>
      <c r="I18" s="36"/>
      <c r="J18" s="36"/>
      <c r="K18">
        <v>5.14</v>
      </c>
      <c r="L18">
        <v>80.19</v>
      </c>
      <c r="M18">
        <v>0</v>
      </c>
      <c r="N18" s="36"/>
      <c r="O18" s="36"/>
      <c r="P18">
        <v>14.1</v>
      </c>
      <c r="Q18">
        <v>29.91</v>
      </c>
      <c r="R18" s="1">
        <v>0.81</v>
      </c>
      <c r="S18" s="36"/>
      <c r="T18" s="36"/>
      <c r="U18">
        <v>4.01</v>
      </c>
      <c r="V18" s="1">
        <v>54.29</v>
      </c>
      <c r="W18" s="1">
        <v>0</v>
      </c>
      <c r="X18" s="36"/>
      <c r="AA18" s="34"/>
      <c r="AB18" s="23" t="s">
        <v>50</v>
      </c>
      <c r="AC18" s="42"/>
      <c r="AD18" s="14">
        <v>10.039999999999999</v>
      </c>
      <c r="AE18" s="14">
        <v>66.67</v>
      </c>
      <c r="AF18" s="15">
        <v>0.69</v>
      </c>
      <c r="AG18" s="42"/>
      <c r="AH18" s="14">
        <v>30.82</v>
      </c>
      <c r="AI18" s="14">
        <v>26.1</v>
      </c>
      <c r="AJ18" s="15">
        <v>1.1100000000000001</v>
      </c>
      <c r="AK18" s="42"/>
      <c r="AL18" s="14">
        <v>7.52</v>
      </c>
      <c r="AM18" s="14">
        <v>53.12</v>
      </c>
      <c r="AN18" s="14">
        <v>0</v>
      </c>
      <c r="AW18" s="35" t="s">
        <v>20</v>
      </c>
      <c r="AX18" s="24" t="s">
        <v>24</v>
      </c>
      <c r="AY18" s="25">
        <v>514.66999999999996</v>
      </c>
      <c r="AZ18" s="26">
        <v>15.446099999999999</v>
      </c>
    </row>
    <row r="19" spans="1:52" ht="15" x14ac:dyDescent="0.2">
      <c r="A19" s="36" t="s">
        <v>13</v>
      </c>
      <c r="B19" s="1" t="s">
        <v>5</v>
      </c>
      <c r="C19" s="36">
        <v>29.96</v>
      </c>
      <c r="D19">
        <v>23.38</v>
      </c>
      <c r="E19">
        <v>24.5</v>
      </c>
      <c r="F19">
        <v>1.0900000000000001</v>
      </c>
      <c r="G19">
        <v>95.45</v>
      </c>
      <c r="H19">
        <v>3.6791999999999998</v>
      </c>
      <c r="J19" s="36">
        <v>28.64</v>
      </c>
      <c r="K19">
        <v>17.38</v>
      </c>
      <c r="L19">
        <v>42.31</v>
      </c>
      <c r="M19">
        <v>1.2</v>
      </c>
      <c r="O19" s="36">
        <v>40.82</v>
      </c>
      <c r="P19">
        <v>38.85</v>
      </c>
      <c r="Q19">
        <v>7.23</v>
      </c>
      <c r="R19" s="1">
        <v>1.66</v>
      </c>
      <c r="T19" s="36">
        <v>16.04</v>
      </c>
      <c r="U19">
        <v>12.03</v>
      </c>
      <c r="V19" s="1">
        <v>26.56</v>
      </c>
      <c r="W19" s="1">
        <v>0.3</v>
      </c>
      <c r="AA19" s="35" t="s">
        <v>20</v>
      </c>
      <c r="AB19" s="24" t="s">
        <v>24</v>
      </c>
      <c r="AC19" s="45">
        <v>38.07</v>
      </c>
      <c r="AD19" s="13">
        <v>24.24</v>
      </c>
      <c r="AE19" s="13">
        <v>44.69</v>
      </c>
      <c r="AF19" s="11">
        <v>5.14</v>
      </c>
      <c r="AG19" s="43">
        <v>56.89</v>
      </c>
      <c r="AH19" s="13">
        <v>53.44</v>
      </c>
      <c r="AI19" s="13">
        <v>11.24</v>
      </c>
      <c r="AJ19" s="11">
        <v>6.84</v>
      </c>
      <c r="AK19" s="45">
        <v>39.85</v>
      </c>
      <c r="AL19" s="13">
        <v>34.090000000000003</v>
      </c>
      <c r="AM19" s="13">
        <v>22.64</v>
      </c>
      <c r="AN19" s="13">
        <v>5.42</v>
      </c>
      <c r="AW19" s="33"/>
      <c r="AX19" s="24" t="s">
        <v>25</v>
      </c>
      <c r="AY19" s="25">
        <v>2260.0300000000002</v>
      </c>
      <c r="AZ19" s="26">
        <v>27.349599999999999</v>
      </c>
    </row>
    <row r="20" spans="1:52" ht="15" x14ac:dyDescent="0.2">
      <c r="A20" s="36"/>
      <c r="B20" s="1" t="s">
        <v>6</v>
      </c>
      <c r="C20" s="36"/>
      <c r="D20">
        <v>36.31</v>
      </c>
      <c r="E20">
        <v>31.08</v>
      </c>
      <c r="F20">
        <v>22.36</v>
      </c>
      <c r="G20">
        <v>3620.41</v>
      </c>
      <c r="H20">
        <v>26.883299999999998</v>
      </c>
      <c r="J20" s="36"/>
      <c r="K20">
        <v>31.46</v>
      </c>
      <c r="L20">
        <v>47.86</v>
      </c>
      <c r="M20">
        <v>23.16</v>
      </c>
      <c r="O20" s="36"/>
      <c r="P20">
        <v>48.2</v>
      </c>
      <c r="Q20">
        <v>14.06</v>
      </c>
      <c r="R20" s="1">
        <v>22.16</v>
      </c>
      <c r="T20" s="36"/>
      <c r="U20">
        <v>28.07</v>
      </c>
      <c r="V20" s="1">
        <v>35.94</v>
      </c>
      <c r="W20" s="1">
        <v>21.19</v>
      </c>
      <c r="AA20" s="33"/>
      <c r="AB20" s="24" t="s">
        <v>23</v>
      </c>
      <c r="AC20" s="46"/>
      <c r="AD20" s="12">
        <v>26.44</v>
      </c>
      <c r="AE20" s="12">
        <v>52.73</v>
      </c>
      <c r="AF20" s="8">
        <v>14.03</v>
      </c>
      <c r="AG20" s="41"/>
      <c r="AH20" s="12">
        <v>61.97</v>
      </c>
      <c r="AI20" s="12">
        <v>11.24</v>
      </c>
      <c r="AJ20" s="8">
        <v>26.62</v>
      </c>
      <c r="AK20" s="46"/>
      <c r="AL20" s="12">
        <v>36.590000000000003</v>
      </c>
      <c r="AM20" s="12">
        <v>36.479999999999997</v>
      </c>
      <c r="AN20" s="12">
        <v>18.75</v>
      </c>
      <c r="AW20" s="33"/>
      <c r="AX20" s="24" t="s">
        <v>45</v>
      </c>
      <c r="AY20" s="25">
        <v>3219.47</v>
      </c>
      <c r="AZ20" s="26">
        <v>35.505099999999999</v>
      </c>
    </row>
    <row r="21" spans="1:52" ht="15" x14ac:dyDescent="0.2">
      <c r="A21" s="36"/>
      <c r="B21" s="1" t="s">
        <v>9</v>
      </c>
      <c r="C21" s="36"/>
      <c r="D21">
        <v>55.31</v>
      </c>
      <c r="E21">
        <v>14.08</v>
      </c>
      <c r="F21">
        <v>41.14</v>
      </c>
      <c r="G21">
        <v>3227.44</v>
      </c>
      <c r="H21">
        <v>24.215399999999999</v>
      </c>
      <c r="J21" s="36"/>
      <c r="K21">
        <v>53.12</v>
      </c>
      <c r="L21">
        <v>16.670000000000002</v>
      </c>
      <c r="M21">
        <v>40.82</v>
      </c>
      <c r="O21" s="36"/>
      <c r="P21">
        <v>66.89</v>
      </c>
      <c r="Q21">
        <v>9.64</v>
      </c>
      <c r="R21" s="1">
        <v>50.69</v>
      </c>
      <c r="T21" s="36"/>
      <c r="U21">
        <v>42.11</v>
      </c>
      <c r="V21">
        <v>21.88</v>
      </c>
      <c r="W21">
        <v>35.22</v>
      </c>
      <c r="AA21" s="33"/>
      <c r="AB21" s="24" t="s">
        <v>22</v>
      </c>
      <c r="AC21" s="46"/>
      <c r="AD21" s="12">
        <v>34.39</v>
      </c>
      <c r="AE21" s="12">
        <v>42.77</v>
      </c>
      <c r="AF21" s="8">
        <v>19.96</v>
      </c>
      <c r="AG21" s="41"/>
      <c r="AH21" s="12">
        <v>63.28</v>
      </c>
      <c r="AI21" s="12">
        <v>11.53</v>
      </c>
      <c r="AJ21" s="8">
        <v>30.04</v>
      </c>
      <c r="AK21" s="46"/>
      <c r="AL21" s="12">
        <v>38.85</v>
      </c>
      <c r="AM21" s="12">
        <v>32.700000000000003</v>
      </c>
      <c r="AN21" s="12">
        <v>20</v>
      </c>
      <c r="AW21" s="33"/>
      <c r="AX21" s="44" t="s">
        <v>55</v>
      </c>
      <c r="AY21" s="25">
        <v>2234.46</v>
      </c>
      <c r="AZ21" s="26">
        <v>22.14</v>
      </c>
    </row>
    <row r="22" spans="1:52" ht="15" customHeight="1" x14ac:dyDescent="0.2">
      <c r="A22" s="36"/>
      <c r="B22" s="1" t="s">
        <v>54</v>
      </c>
      <c r="C22" s="36"/>
      <c r="D22">
        <v>18.29</v>
      </c>
      <c r="E22">
        <v>48.82</v>
      </c>
      <c r="F22">
        <v>5.09</v>
      </c>
      <c r="G22">
        <v>2300.7399999999998</v>
      </c>
      <c r="H22">
        <v>19.05</v>
      </c>
      <c r="J22" s="36"/>
      <c r="K22">
        <v>16.649999999999999</v>
      </c>
      <c r="L22">
        <v>55.98</v>
      </c>
      <c r="M22">
        <v>5.69</v>
      </c>
      <c r="O22" s="36"/>
      <c r="P22">
        <v>26.72</v>
      </c>
      <c r="Q22">
        <v>44.98</v>
      </c>
      <c r="R22" s="1">
        <v>7.2</v>
      </c>
      <c r="T22" s="36"/>
      <c r="U22">
        <v>8.77</v>
      </c>
      <c r="V22" s="1">
        <v>54.69</v>
      </c>
      <c r="W22" s="1">
        <v>1.79</v>
      </c>
      <c r="AA22" s="33"/>
      <c r="AB22" s="44" t="s">
        <v>55</v>
      </c>
      <c r="AC22" s="46"/>
      <c r="AD22" s="12">
        <v>16.77</v>
      </c>
      <c r="AE22" s="12">
        <v>63.99</v>
      </c>
      <c r="AF22" s="8">
        <v>4.9400000000000004</v>
      </c>
      <c r="AG22" s="41"/>
      <c r="AH22" s="12">
        <v>48.2</v>
      </c>
      <c r="AI22" s="12">
        <v>19.600000000000001</v>
      </c>
      <c r="AJ22" s="8">
        <v>8.3699999999999992</v>
      </c>
      <c r="AK22" s="46"/>
      <c r="AL22" s="17">
        <v>22.81</v>
      </c>
      <c r="AM22" s="17">
        <v>52.2</v>
      </c>
      <c r="AN22" s="48">
        <v>6.25</v>
      </c>
      <c r="AW22" s="33"/>
      <c r="AX22" s="23" t="s">
        <v>50</v>
      </c>
      <c r="AY22" s="27">
        <v>2260.54</v>
      </c>
      <c r="AZ22" s="28">
        <v>21.763400000000001</v>
      </c>
    </row>
    <row r="23" spans="1:52" ht="15" x14ac:dyDescent="0.2">
      <c r="A23" s="36"/>
      <c r="B23" s="1" t="s">
        <v>4</v>
      </c>
      <c r="C23" s="36"/>
      <c r="D23">
        <v>20.87</v>
      </c>
      <c r="E23">
        <v>35.47</v>
      </c>
      <c r="F23">
        <v>2.19</v>
      </c>
      <c r="G23">
        <v>205.87</v>
      </c>
      <c r="H23">
        <v>2.9369000000000001</v>
      </c>
      <c r="J23" s="36"/>
      <c r="K23">
        <v>14.93</v>
      </c>
      <c r="L23">
        <v>51.71</v>
      </c>
      <c r="M23">
        <v>1.54</v>
      </c>
      <c r="O23" s="36"/>
      <c r="P23">
        <v>36.72</v>
      </c>
      <c r="Q23">
        <v>17.670000000000002</v>
      </c>
      <c r="R23">
        <v>5.26</v>
      </c>
      <c r="T23" s="36"/>
      <c r="U23">
        <v>8.77</v>
      </c>
      <c r="V23">
        <v>45.31</v>
      </c>
      <c r="W23">
        <v>0</v>
      </c>
      <c r="AA23" s="34"/>
      <c r="AB23" s="23" t="s">
        <v>50</v>
      </c>
      <c r="AC23" s="47"/>
      <c r="AD23" s="14">
        <v>10.28</v>
      </c>
      <c r="AE23" s="14">
        <v>74.92</v>
      </c>
      <c r="AF23" s="15">
        <v>1.19</v>
      </c>
      <c r="AG23" s="42"/>
      <c r="AH23" s="14">
        <v>47.54</v>
      </c>
      <c r="AI23" s="14">
        <v>19.600000000000001</v>
      </c>
      <c r="AJ23" s="15">
        <v>4.18</v>
      </c>
      <c r="AK23" s="47"/>
      <c r="AL23" s="16">
        <v>25.06</v>
      </c>
      <c r="AM23" s="16">
        <v>42.77</v>
      </c>
      <c r="AN23" s="14">
        <v>3.75</v>
      </c>
      <c r="AW23" s="50"/>
    </row>
    <row r="24" spans="1:52" x14ac:dyDescent="0.2">
      <c r="A24" s="36"/>
      <c r="B24" s="1" t="s">
        <v>21</v>
      </c>
      <c r="C24" s="36"/>
      <c r="D24">
        <v>18.89</v>
      </c>
      <c r="E24">
        <v>39.31</v>
      </c>
      <c r="F24">
        <v>1.0900000000000001</v>
      </c>
      <c r="G24">
        <v>3422.22</v>
      </c>
      <c r="H24">
        <v>22.941400000000002</v>
      </c>
      <c r="I24" s="36">
        <v>48.81</v>
      </c>
      <c r="J24" s="36"/>
      <c r="K24">
        <v>12.48</v>
      </c>
      <c r="L24">
        <v>58.97</v>
      </c>
      <c r="M24">
        <v>1.03</v>
      </c>
      <c r="N24" s="36">
        <v>67.09</v>
      </c>
      <c r="O24" s="36"/>
      <c r="P24">
        <v>34.590000000000003</v>
      </c>
      <c r="Q24">
        <v>18.07</v>
      </c>
      <c r="R24">
        <v>2.2200000000000002</v>
      </c>
      <c r="S24" s="36">
        <v>30.12</v>
      </c>
      <c r="T24" s="36"/>
      <c r="U24">
        <v>8.02</v>
      </c>
      <c r="V24">
        <v>50</v>
      </c>
      <c r="W24">
        <v>0</v>
      </c>
      <c r="X24" s="36">
        <v>54.69</v>
      </c>
    </row>
    <row r="25" spans="1:52" x14ac:dyDescent="0.2">
      <c r="A25" s="36"/>
      <c r="B25" s="1" t="s">
        <v>14</v>
      </c>
      <c r="C25" s="36"/>
      <c r="D25">
        <v>17.8</v>
      </c>
      <c r="E25">
        <v>43.33</v>
      </c>
      <c r="F25">
        <v>1.17</v>
      </c>
      <c r="G25">
        <v>3532.35</v>
      </c>
      <c r="H25">
        <v>23.260400000000001</v>
      </c>
      <c r="I25" s="36"/>
      <c r="J25" s="36"/>
      <c r="K25">
        <v>10.89</v>
      </c>
      <c r="L25">
        <v>64.959999999999994</v>
      </c>
      <c r="M25">
        <v>1.2</v>
      </c>
      <c r="N25" s="36"/>
      <c r="O25" s="36"/>
      <c r="P25">
        <v>33.61</v>
      </c>
      <c r="Q25">
        <v>20.88</v>
      </c>
      <c r="R25">
        <v>2.2200000000000002</v>
      </c>
      <c r="S25" s="36"/>
      <c r="T25" s="36"/>
      <c r="U25">
        <v>7.77</v>
      </c>
      <c r="V25">
        <v>51.56</v>
      </c>
      <c r="W25">
        <v>0</v>
      </c>
      <c r="X25" s="36"/>
    </row>
    <row r="26" spans="1:52" x14ac:dyDescent="0.2">
      <c r="A26" s="36"/>
      <c r="B26" s="1" t="s">
        <v>12</v>
      </c>
      <c r="C26" s="36"/>
      <c r="D26">
        <v>16.43</v>
      </c>
      <c r="E26">
        <v>46.62</v>
      </c>
      <c r="F26">
        <v>0.63</v>
      </c>
      <c r="G26">
        <v>4536.21</v>
      </c>
      <c r="H26">
        <v>52.032899999999998</v>
      </c>
      <c r="I26" s="36"/>
      <c r="J26" s="36"/>
      <c r="K26">
        <v>10.039999999999999</v>
      </c>
      <c r="L26">
        <v>66.67</v>
      </c>
      <c r="M26">
        <v>0.69</v>
      </c>
      <c r="N26" s="36"/>
      <c r="O26" s="36"/>
      <c r="P26">
        <v>30.82</v>
      </c>
      <c r="Q26">
        <v>26.1</v>
      </c>
      <c r="R26">
        <v>1.1100000000000001</v>
      </c>
      <c r="S26" s="36"/>
      <c r="T26" s="36"/>
      <c r="U26">
        <v>7.52</v>
      </c>
      <c r="V26">
        <v>53.12</v>
      </c>
      <c r="W26">
        <v>0</v>
      </c>
      <c r="X26" s="36"/>
    </row>
    <row r="27" spans="1:52" x14ac:dyDescent="0.2">
      <c r="A27" s="36" t="s">
        <v>20</v>
      </c>
      <c r="B27" s="1" t="s">
        <v>5</v>
      </c>
      <c r="C27" s="36">
        <v>44.74</v>
      </c>
      <c r="D27">
        <v>36.14</v>
      </c>
      <c r="E27">
        <v>26.19</v>
      </c>
      <c r="F27">
        <v>5.65</v>
      </c>
      <c r="G27">
        <v>514.66999999999996</v>
      </c>
      <c r="H27">
        <v>15.446099999999999</v>
      </c>
      <c r="J27" s="36">
        <v>38.07</v>
      </c>
      <c r="K27">
        <v>24.24</v>
      </c>
      <c r="L27">
        <v>44.69</v>
      </c>
      <c r="M27">
        <v>5.14</v>
      </c>
      <c r="O27" s="36">
        <v>56.89</v>
      </c>
      <c r="P27">
        <v>53.44</v>
      </c>
      <c r="Q27">
        <v>11.24</v>
      </c>
      <c r="R27">
        <v>6.84</v>
      </c>
      <c r="T27" s="36">
        <v>39.85</v>
      </c>
      <c r="U27">
        <v>34.090000000000003</v>
      </c>
      <c r="V27">
        <v>22.64</v>
      </c>
      <c r="W27">
        <v>5.42</v>
      </c>
    </row>
    <row r="28" spans="1:52" x14ac:dyDescent="0.2">
      <c r="A28" s="36"/>
      <c r="B28" s="1" t="s">
        <v>6</v>
      </c>
      <c r="C28" s="36"/>
      <c r="D28">
        <v>40.53</v>
      </c>
      <c r="E28">
        <v>31.95</v>
      </c>
      <c r="F28">
        <v>18.43</v>
      </c>
      <c r="G28">
        <v>2260.0300000000002</v>
      </c>
      <c r="H28">
        <v>27.349599999999999</v>
      </c>
      <c r="J28" s="36"/>
      <c r="K28">
        <v>26.44</v>
      </c>
      <c r="L28">
        <v>52.73</v>
      </c>
      <c r="M28">
        <v>14.03</v>
      </c>
      <c r="O28" s="36"/>
      <c r="P28">
        <v>61.97</v>
      </c>
      <c r="Q28">
        <v>11.24</v>
      </c>
      <c r="R28">
        <v>26.62</v>
      </c>
      <c r="T28" s="36"/>
      <c r="U28">
        <v>36.590000000000003</v>
      </c>
      <c r="V28">
        <v>36.479999999999997</v>
      </c>
      <c r="W28">
        <v>18.75</v>
      </c>
    </row>
    <row r="29" spans="1:52" x14ac:dyDescent="0.2">
      <c r="A29" s="36"/>
      <c r="B29" s="1" t="s">
        <v>9</v>
      </c>
      <c r="C29" s="36"/>
      <c r="D29">
        <v>45.02</v>
      </c>
      <c r="E29">
        <v>27.54</v>
      </c>
      <c r="F29">
        <v>22.79</v>
      </c>
      <c r="G29">
        <v>3219.47</v>
      </c>
      <c r="H29">
        <v>35.505099999999999</v>
      </c>
      <c r="J29" s="36"/>
      <c r="K29">
        <v>34.39</v>
      </c>
      <c r="L29">
        <v>42.77</v>
      </c>
      <c r="M29">
        <v>19.96</v>
      </c>
      <c r="O29" s="36"/>
      <c r="P29">
        <v>63.28</v>
      </c>
      <c r="Q29">
        <v>11.53</v>
      </c>
      <c r="R29">
        <v>30.04</v>
      </c>
      <c r="T29" s="36"/>
      <c r="U29">
        <v>38.85</v>
      </c>
      <c r="V29">
        <v>32.700000000000003</v>
      </c>
      <c r="W29">
        <v>20</v>
      </c>
    </row>
    <row r="30" spans="1:52" x14ac:dyDescent="0.2">
      <c r="A30" s="36"/>
      <c r="B30" s="1" t="s">
        <v>54</v>
      </c>
      <c r="C30" s="36"/>
      <c r="D30">
        <v>28.59</v>
      </c>
      <c r="E30">
        <v>43.7</v>
      </c>
      <c r="F30">
        <v>6.14</v>
      </c>
      <c r="G30">
        <v>2234.46</v>
      </c>
      <c r="H30">
        <v>22.14</v>
      </c>
      <c r="J30" s="36"/>
      <c r="K30">
        <v>16.77</v>
      </c>
      <c r="L30">
        <v>63.99</v>
      </c>
      <c r="M30">
        <v>4.9400000000000004</v>
      </c>
      <c r="O30" s="36"/>
      <c r="P30">
        <v>48.2</v>
      </c>
      <c r="Q30">
        <v>19.600000000000001</v>
      </c>
      <c r="R30">
        <v>8.3699999999999992</v>
      </c>
      <c r="T30" s="36"/>
      <c r="U30">
        <v>22.81</v>
      </c>
      <c r="V30">
        <v>52.2</v>
      </c>
      <c r="W30">
        <v>6.25</v>
      </c>
    </row>
    <row r="31" spans="1:52" x14ac:dyDescent="0.2">
      <c r="A31" s="36"/>
      <c r="B31" s="1" t="s">
        <v>4</v>
      </c>
      <c r="C31" s="36"/>
      <c r="D31">
        <v>31.16</v>
      </c>
      <c r="E31">
        <v>40.020000000000003</v>
      </c>
      <c r="F31">
        <v>7.83</v>
      </c>
      <c r="G31">
        <v>234.65</v>
      </c>
      <c r="H31">
        <v>1.3381000000000001</v>
      </c>
      <c r="J31" s="36"/>
      <c r="K31">
        <v>12.97</v>
      </c>
      <c r="L31">
        <v>70.739999999999995</v>
      </c>
      <c r="M31">
        <v>2.96</v>
      </c>
      <c r="O31" s="36"/>
      <c r="P31">
        <v>53.28</v>
      </c>
      <c r="Q31">
        <v>17</v>
      </c>
      <c r="R31">
        <v>14.07</v>
      </c>
      <c r="T31" s="36"/>
      <c r="U31">
        <v>34.590000000000003</v>
      </c>
      <c r="V31">
        <v>30.19</v>
      </c>
      <c r="W31">
        <v>11.25</v>
      </c>
    </row>
    <row r="32" spans="1:52" x14ac:dyDescent="0.2">
      <c r="A32" s="36"/>
      <c r="B32" s="1" t="s">
        <v>21</v>
      </c>
      <c r="C32" s="36"/>
      <c r="D32">
        <v>28.31</v>
      </c>
      <c r="E32">
        <v>41.13</v>
      </c>
      <c r="F32">
        <v>3.57</v>
      </c>
      <c r="G32">
        <v>3697.93</v>
      </c>
      <c r="H32">
        <v>13.305</v>
      </c>
      <c r="I32" s="36">
        <v>48.1</v>
      </c>
      <c r="J32" s="36"/>
      <c r="K32">
        <v>11.75</v>
      </c>
      <c r="L32">
        <v>71.7</v>
      </c>
      <c r="M32">
        <v>1.58</v>
      </c>
      <c r="N32" s="36">
        <v>76.209999999999994</v>
      </c>
      <c r="O32" s="36"/>
      <c r="P32">
        <v>50.16</v>
      </c>
      <c r="Q32">
        <v>16.43</v>
      </c>
      <c r="R32">
        <v>6.08</v>
      </c>
      <c r="S32" s="36">
        <v>23.05</v>
      </c>
      <c r="T32" s="36"/>
      <c r="U32">
        <v>28.82</v>
      </c>
      <c r="V32">
        <v>35.22</v>
      </c>
      <c r="W32">
        <v>5</v>
      </c>
      <c r="X32" s="36">
        <v>47.8</v>
      </c>
    </row>
    <row r="33" spans="1:40" x14ac:dyDescent="0.2">
      <c r="A33" s="36"/>
      <c r="B33" s="1" t="s">
        <v>14</v>
      </c>
      <c r="C33" s="36"/>
      <c r="D33">
        <v>27.66</v>
      </c>
      <c r="E33">
        <v>42.72</v>
      </c>
      <c r="F33">
        <v>3.67</v>
      </c>
      <c r="G33">
        <v>3988.17</v>
      </c>
      <c r="H33">
        <v>15.7463</v>
      </c>
      <c r="I33" s="36"/>
      <c r="J33" s="36"/>
      <c r="K33">
        <v>11.75</v>
      </c>
      <c r="L33">
        <v>72.03</v>
      </c>
      <c r="M33">
        <v>1.78</v>
      </c>
      <c r="N33" s="36"/>
      <c r="O33" s="36"/>
      <c r="P33">
        <v>49.18</v>
      </c>
      <c r="Q33">
        <v>17.87</v>
      </c>
      <c r="R33">
        <v>5.7</v>
      </c>
      <c r="S33" s="36"/>
      <c r="T33" s="36"/>
      <c r="U33">
        <v>27.32</v>
      </c>
      <c r="V33">
        <v>36.92</v>
      </c>
      <c r="W33">
        <v>5.42</v>
      </c>
      <c r="X33" s="36"/>
    </row>
    <row r="34" spans="1:40" x14ac:dyDescent="0.2">
      <c r="A34" s="36"/>
      <c r="B34" s="1" t="s">
        <v>12</v>
      </c>
      <c r="C34" s="36"/>
      <c r="D34">
        <v>25.96</v>
      </c>
      <c r="E34">
        <v>45.17</v>
      </c>
      <c r="F34">
        <v>2.58</v>
      </c>
      <c r="G34">
        <v>4521.08</v>
      </c>
      <c r="H34">
        <v>21.763400000000001</v>
      </c>
      <c r="I34" s="36"/>
      <c r="J34" s="36"/>
      <c r="K34">
        <v>10.28</v>
      </c>
      <c r="L34">
        <v>74.92</v>
      </c>
      <c r="M34">
        <v>1.19</v>
      </c>
      <c r="N34" s="36"/>
      <c r="O34" s="36"/>
      <c r="P34">
        <v>47.54</v>
      </c>
      <c r="Q34">
        <v>19.600000000000001</v>
      </c>
      <c r="R34">
        <v>4.18</v>
      </c>
      <c r="S34" s="36"/>
      <c r="T34" s="36"/>
      <c r="U34">
        <v>25.06</v>
      </c>
      <c r="V34">
        <v>42.77</v>
      </c>
      <c r="W34">
        <v>3.75</v>
      </c>
      <c r="X34" s="36"/>
    </row>
    <row r="35" spans="1:40" x14ac:dyDescent="0.2">
      <c r="AN35" s="49"/>
    </row>
    <row r="38" spans="1:40" ht="15" x14ac:dyDescent="0.2">
      <c r="B38" s="2"/>
      <c r="C38" s="12" t="s">
        <v>34</v>
      </c>
      <c r="D38" s="2" t="s">
        <v>35</v>
      </c>
      <c r="E38" s="2" t="s">
        <v>36</v>
      </c>
    </row>
    <row r="39" spans="1:40" x14ac:dyDescent="0.2">
      <c r="B39" s="2" t="s">
        <v>31</v>
      </c>
      <c r="C39" s="2">
        <v>15</v>
      </c>
      <c r="D39" s="2">
        <v>68.349999999999994</v>
      </c>
      <c r="E39" s="2">
        <v>1.98</v>
      </c>
    </row>
    <row r="40" spans="1:40" ht="15.75" thickBot="1" x14ac:dyDescent="0.25">
      <c r="B40" s="2" t="s">
        <v>32</v>
      </c>
      <c r="C40" s="2">
        <v>17.22</v>
      </c>
      <c r="D40" s="2">
        <v>67.09</v>
      </c>
      <c r="E40" s="2">
        <v>4.95</v>
      </c>
      <c r="U40" s="19"/>
      <c r="V40" s="19"/>
      <c r="W40" s="20"/>
    </row>
    <row r="41" spans="1:40" ht="16.5" thickTop="1" thickBot="1" x14ac:dyDescent="0.25">
      <c r="B41" s="2" t="s">
        <v>33</v>
      </c>
      <c r="C41" s="2">
        <v>17.22</v>
      </c>
      <c r="D41" s="2">
        <v>64.56</v>
      </c>
      <c r="E41" s="2">
        <v>2.97</v>
      </c>
      <c r="U41" s="37"/>
      <c r="V41" s="37"/>
      <c r="W41" s="38"/>
    </row>
    <row r="42" spans="1:40" ht="15.75" thickTop="1" x14ac:dyDescent="0.2">
      <c r="U42" s="12"/>
      <c r="V42" s="12"/>
      <c r="W42" s="8"/>
    </row>
    <row r="43" spans="1:40" ht="15" x14ac:dyDescent="0.2">
      <c r="U43" s="12"/>
      <c r="V43" s="12"/>
      <c r="W43" s="8"/>
    </row>
    <row r="44" spans="1:40" ht="15" x14ac:dyDescent="0.2">
      <c r="U44" s="12"/>
      <c r="V44" s="12"/>
      <c r="W44" s="8"/>
    </row>
    <row r="45" spans="1:40" ht="15" x14ac:dyDescent="0.2">
      <c r="B45" s="22"/>
      <c r="C45" s="12" t="s">
        <v>51</v>
      </c>
      <c r="D45" s="2" t="s">
        <v>52</v>
      </c>
      <c r="E45" s="2" t="s">
        <v>53</v>
      </c>
      <c r="U45" s="14"/>
      <c r="V45" s="14"/>
      <c r="W45" s="15"/>
    </row>
    <row r="46" spans="1:40" ht="15" x14ac:dyDescent="0.2">
      <c r="B46" s="22">
        <v>0</v>
      </c>
      <c r="C46" s="22">
        <v>22.22</v>
      </c>
      <c r="D46" s="22">
        <v>55.7</v>
      </c>
      <c r="E46" s="22">
        <v>4.95</v>
      </c>
      <c r="U46" s="13"/>
      <c r="V46" s="13"/>
      <c r="W46" s="11"/>
    </row>
    <row r="47" spans="1:40" ht="15" x14ac:dyDescent="0.25">
      <c r="B47" s="22">
        <v>1</v>
      </c>
      <c r="C47" s="22">
        <v>19.440000000000001</v>
      </c>
      <c r="D47" s="22">
        <v>60.76</v>
      </c>
      <c r="E47" s="22">
        <v>3.96</v>
      </c>
      <c r="U47" s="6"/>
      <c r="V47" s="6"/>
      <c r="W47" s="8"/>
    </row>
    <row r="48" spans="1:40" ht="15" x14ac:dyDescent="0.25">
      <c r="B48" s="22">
        <v>3</v>
      </c>
      <c r="C48" s="22">
        <v>18.329999999999998</v>
      </c>
      <c r="D48" s="22">
        <v>64.56</v>
      </c>
      <c r="E48" s="22">
        <v>4.95</v>
      </c>
      <c r="U48" s="6"/>
      <c r="V48" s="6"/>
      <c r="W48" s="7"/>
    </row>
    <row r="49" spans="2:23" ht="15" x14ac:dyDescent="0.25">
      <c r="B49" s="22">
        <v>5</v>
      </c>
      <c r="C49" s="2">
        <v>17.22</v>
      </c>
      <c r="D49" s="2">
        <v>64.56</v>
      </c>
      <c r="E49" s="2">
        <v>2.97</v>
      </c>
      <c r="U49" s="3"/>
      <c r="V49" s="3"/>
      <c r="W49" s="4"/>
    </row>
    <row r="50" spans="2:23" ht="15" x14ac:dyDescent="0.25">
      <c r="B50" s="22">
        <v>7</v>
      </c>
      <c r="C50" s="22">
        <v>18.329999999999998</v>
      </c>
      <c r="D50" s="22">
        <v>67.09</v>
      </c>
      <c r="E50" s="22">
        <v>6.93</v>
      </c>
      <c r="U50" s="9"/>
      <c r="V50" s="9"/>
      <c r="W50" s="10"/>
    </row>
    <row r="51" spans="2:23" ht="15" x14ac:dyDescent="0.25">
      <c r="B51" s="22">
        <v>9</v>
      </c>
      <c r="C51" s="22">
        <v>16.670000000000002</v>
      </c>
      <c r="D51" s="22">
        <v>67.09</v>
      </c>
      <c r="E51" s="22">
        <v>3.96</v>
      </c>
      <c r="U51" s="6"/>
      <c r="V51" s="6"/>
      <c r="W51" s="7"/>
    </row>
    <row r="52" spans="2:23" ht="15" x14ac:dyDescent="0.25">
      <c r="U52" s="6"/>
      <c r="V52" s="6"/>
      <c r="W52" s="7"/>
    </row>
    <row r="53" spans="2:23" ht="15" x14ac:dyDescent="0.25">
      <c r="U53" s="3"/>
      <c r="V53" s="3"/>
      <c r="W53" s="4"/>
    </row>
    <row r="54" spans="2:23" ht="15" x14ac:dyDescent="0.25">
      <c r="U54" s="9"/>
      <c r="V54" s="9"/>
      <c r="W54" s="10"/>
    </row>
    <row r="55" spans="2:23" ht="15" x14ac:dyDescent="0.25">
      <c r="B55" s="1"/>
      <c r="C55" s="1"/>
      <c r="D55" s="1" t="s">
        <v>16</v>
      </c>
      <c r="E55" s="1" t="s">
        <v>17</v>
      </c>
      <c r="F55" s="1" t="s">
        <v>18</v>
      </c>
      <c r="G55" s="1" t="s">
        <v>19</v>
      </c>
      <c r="H55" s="1"/>
      <c r="I55" s="1"/>
      <c r="J55" s="1"/>
      <c r="U55" s="6"/>
      <c r="V55" s="6"/>
      <c r="W55" s="7"/>
    </row>
    <row r="56" spans="2:23" ht="15" x14ac:dyDescent="0.25">
      <c r="B56" s="1"/>
      <c r="C56" s="1"/>
      <c r="D56" s="1" t="s">
        <v>3</v>
      </c>
      <c r="E56" s="1" t="s">
        <v>3</v>
      </c>
      <c r="F56" s="1" t="s">
        <v>3</v>
      </c>
      <c r="G56" s="1" t="s">
        <v>3</v>
      </c>
      <c r="U56" s="6"/>
      <c r="V56" s="6"/>
      <c r="W56" s="7"/>
    </row>
    <row r="57" spans="2:23" ht="15" x14ac:dyDescent="0.25">
      <c r="B57" s="1" t="s">
        <v>0</v>
      </c>
      <c r="C57" s="1" t="s">
        <v>4</v>
      </c>
      <c r="D57" s="1">
        <v>65.150000000000006</v>
      </c>
      <c r="E57" s="1">
        <v>85.56</v>
      </c>
      <c r="F57" s="1">
        <v>27.16</v>
      </c>
      <c r="G57" s="1">
        <v>74.38</v>
      </c>
      <c r="U57" s="3"/>
      <c r="V57" s="3"/>
      <c r="W57" s="4"/>
    </row>
    <row r="58" spans="2:23" x14ac:dyDescent="0.2">
      <c r="B58" s="1"/>
      <c r="C58" s="1" t="s">
        <v>12</v>
      </c>
      <c r="D58" s="1">
        <v>69.05</v>
      </c>
      <c r="E58" s="1">
        <v>87.97</v>
      </c>
      <c r="F58" s="1">
        <v>35.78</v>
      </c>
      <c r="G58" s="1">
        <v>74.38</v>
      </c>
    </row>
    <row r="59" spans="2:23" x14ac:dyDescent="0.2">
      <c r="B59" s="1"/>
      <c r="C59" s="1" t="s">
        <v>11</v>
      </c>
      <c r="D59" s="1">
        <v>72.760000000000005</v>
      </c>
      <c r="E59" s="1">
        <v>90.37</v>
      </c>
      <c r="F59" s="1">
        <v>39.22</v>
      </c>
      <c r="G59" s="1">
        <v>82.64</v>
      </c>
      <c r="K59" s="1"/>
    </row>
    <row r="60" spans="2:23" x14ac:dyDescent="0.2">
      <c r="B60" s="1" t="s">
        <v>1</v>
      </c>
      <c r="C60" s="1" t="s">
        <v>4</v>
      </c>
      <c r="D60">
        <v>49.45</v>
      </c>
      <c r="E60">
        <v>72.17</v>
      </c>
      <c r="F60">
        <v>10.26</v>
      </c>
      <c r="G60" s="1">
        <v>42.86</v>
      </c>
    </row>
    <row r="61" spans="2:23" x14ac:dyDescent="0.2">
      <c r="B61" s="1"/>
      <c r="C61" s="1" t="s">
        <v>12</v>
      </c>
      <c r="D61">
        <v>61.54</v>
      </c>
      <c r="E61">
        <v>80.19</v>
      </c>
      <c r="F61">
        <v>29.91</v>
      </c>
      <c r="G61" s="1">
        <v>54.29</v>
      </c>
      <c r="K61" s="1"/>
    </row>
    <row r="62" spans="2:23" x14ac:dyDescent="0.2">
      <c r="B62" s="1"/>
      <c r="C62" s="1" t="s">
        <v>11</v>
      </c>
      <c r="D62" s="1">
        <v>65.11</v>
      </c>
      <c r="E62" s="1">
        <v>80.66</v>
      </c>
      <c r="F62" s="1">
        <v>34.19</v>
      </c>
      <c r="G62" s="1">
        <v>74.290000000000006</v>
      </c>
      <c r="K62" s="1"/>
    </row>
    <row r="63" spans="2:23" x14ac:dyDescent="0.2">
      <c r="B63" s="1" t="s">
        <v>13</v>
      </c>
      <c r="C63" s="1" t="s">
        <v>4</v>
      </c>
      <c r="D63">
        <v>35.47</v>
      </c>
      <c r="E63">
        <v>51.71</v>
      </c>
      <c r="F63">
        <v>17.670000000000002</v>
      </c>
      <c r="G63">
        <v>45.31</v>
      </c>
    </row>
    <row r="64" spans="2:23" x14ac:dyDescent="0.2">
      <c r="B64" s="1"/>
      <c r="C64" s="1" t="s">
        <v>12</v>
      </c>
      <c r="D64">
        <v>46.62</v>
      </c>
      <c r="E64">
        <v>66.67</v>
      </c>
      <c r="F64">
        <v>26.1</v>
      </c>
      <c r="G64">
        <v>53.12</v>
      </c>
    </row>
    <row r="65" spans="2:25" x14ac:dyDescent="0.2">
      <c r="B65" s="1"/>
      <c r="C65" s="1" t="s">
        <v>11</v>
      </c>
      <c r="D65">
        <v>48.81</v>
      </c>
      <c r="E65">
        <v>67.09</v>
      </c>
      <c r="F65">
        <v>30.12</v>
      </c>
      <c r="G65" s="1">
        <v>54.69</v>
      </c>
    </row>
    <row r="66" spans="2:25" x14ac:dyDescent="0.2">
      <c r="B66" s="1" t="s">
        <v>20</v>
      </c>
      <c r="C66" s="1" t="s">
        <v>4</v>
      </c>
      <c r="D66">
        <v>40.020000000000003</v>
      </c>
      <c r="E66">
        <v>70.739999999999995</v>
      </c>
      <c r="F66">
        <v>17</v>
      </c>
      <c r="G66">
        <v>30.19</v>
      </c>
    </row>
    <row r="67" spans="2:25" x14ac:dyDescent="0.2">
      <c r="B67" s="1"/>
      <c r="C67" s="1" t="s">
        <v>12</v>
      </c>
      <c r="D67">
        <v>45.17</v>
      </c>
      <c r="E67">
        <v>74.92</v>
      </c>
      <c r="F67">
        <v>19.600000000000001</v>
      </c>
      <c r="G67">
        <v>42.77</v>
      </c>
    </row>
    <row r="68" spans="2:25" x14ac:dyDescent="0.2">
      <c r="C68" s="1" t="s">
        <v>11</v>
      </c>
      <c r="D68" s="1">
        <v>48.1</v>
      </c>
      <c r="E68" s="1">
        <v>76.209999999999994</v>
      </c>
      <c r="F68">
        <v>23.05</v>
      </c>
      <c r="G68" s="1">
        <v>47.8</v>
      </c>
    </row>
    <row r="75" spans="2:25" x14ac:dyDescent="0.2">
      <c r="L75" s="1"/>
      <c r="M75" s="1"/>
      <c r="N75" s="1"/>
      <c r="O75" s="1"/>
      <c r="Q75" s="1"/>
      <c r="R75" s="1"/>
      <c r="S75" s="1"/>
      <c r="T75" s="1"/>
      <c r="V75" s="1"/>
      <c r="W75" s="1"/>
      <c r="X75" s="1"/>
      <c r="Y75" s="1"/>
    </row>
    <row r="79" spans="2:25" x14ac:dyDescent="0.2">
      <c r="L79" s="1"/>
      <c r="M79" s="1"/>
      <c r="N79" s="1"/>
    </row>
    <row r="81" spans="12:14" x14ac:dyDescent="0.2">
      <c r="L81" s="1"/>
      <c r="M81" s="1"/>
      <c r="N81" s="1"/>
    </row>
    <row r="82" spans="12:14" x14ac:dyDescent="0.2">
      <c r="L82" s="1"/>
      <c r="M82" s="1"/>
      <c r="N82" s="1"/>
    </row>
    <row r="90" spans="12:14" x14ac:dyDescent="0.2">
      <c r="M90" s="1"/>
    </row>
    <row r="91" spans="12:14" x14ac:dyDescent="0.2">
      <c r="M91" s="1"/>
    </row>
  </sheetData>
  <mergeCells count="77">
    <mergeCell ref="BF3:BF5"/>
    <mergeCell ref="BF6:BF8"/>
    <mergeCell ref="BF9:BF11"/>
    <mergeCell ref="BF12:BF14"/>
    <mergeCell ref="AW18:AW22"/>
    <mergeCell ref="AW8:AW12"/>
    <mergeCell ref="BE3:BE5"/>
    <mergeCell ref="BC6:BC8"/>
    <mergeCell ref="BC9:BC11"/>
    <mergeCell ref="BC12:BC14"/>
    <mergeCell ref="BE6:BE8"/>
    <mergeCell ref="BE9:BE11"/>
    <mergeCell ref="BE12:BE14"/>
    <mergeCell ref="AC9:AC13"/>
    <mergeCell ref="AG9:AG13"/>
    <mergeCell ref="AK9:AK13"/>
    <mergeCell ref="AA19:AA23"/>
    <mergeCell ref="AC19:AC23"/>
    <mergeCell ref="AG19:AG23"/>
    <mergeCell ref="AK19:AK23"/>
    <mergeCell ref="AG3:AJ3"/>
    <mergeCell ref="AK3:AN3"/>
    <mergeCell ref="AK4:AK8"/>
    <mergeCell ref="AK14:AK18"/>
    <mergeCell ref="AW3:AW7"/>
    <mergeCell ref="AW13:AW17"/>
    <mergeCell ref="U41:W41"/>
    <mergeCell ref="AC3:AF3"/>
    <mergeCell ref="AC4:AC8"/>
    <mergeCell ref="AC14:AC18"/>
    <mergeCell ref="AA3:AB3"/>
    <mergeCell ref="AA14:AA18"/>
    <mergeCell ref="AG4:AG8"/>
    <mergeCell ref="AG14:AG18"/>
    <mergeCell ref="C1:I1"/>
    <mergeCell ref="C3:C10"/>
    <mergeCell ref="I16:I18"/>
    <mergeCell ref="AA4:AA8"/>
    <mergeCell ref="X16:X18"/>
    <mergeCell ref="J1:N1"/>
    <mergeCell ref="S8:S10"/>
    <mergeCell ref="X8:X10"/>
    <mergeCell ref="O1:S1"/>
    <mergeCell ref="T1:X1"/>
    <mergeCell ref="T3:T10"/>
    <mergeCell ref="T11:T18"/>
    <mergeCell ref="S16:S18"/>
    <mergeCell ref="AA9:AA13"/>
    <mergeCell ref="A3:A10"/>
    <mergeCell ref="I8:I10"/>
    <mergeCell ref="J3:J10"/>
    <mergeCell ref="O11:O18"/>
    <mergeCell ref="C19:C26"/>
    <mergeCell ref="I24:I26"/>
    <mergeCell ref="J19:J26"/>
    <mergeCell ref="N24:N26"/>
    <mergeCell ref="O19:O26"/>
    <mergeCell ref="A11:A18"/>
    <mergeCell ref="C11:C18"/>
    <mergeCell ref="A19:A26"/>
    <mergeCell ref="J11:J18"/>
    <mergeCell ref="O3:O10"/>
    <mergeCell ref="N16:N18"/>
    <mergeCell ref="N8:N10"/>
    <mergeCell ref="BC3:BC5"/>
    <mergeCell ref="A27:A34"/>
    <mergeCell ref="C27:C34"/>
    <mergeCell ref="O27:O34"/>
    <mergeCell ref="T19:T26"/>
    <mergeCell ref="X24:X26"/>
    <mergeCell ref="T27:T34"/>
    <mergeCell ref="N32:N34"/>
    <mergeCell ref="S32:S34"/>
    <mergeCell ref="X32:X34"/>
    <mergeCell ref="J27:J34"/>
    <mergeCell ref="I32:I34"/>
    <mergeCell ref="S24:S2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zbybr-PC</dc:creator>
  <cp:lastModifiedBy>Borui Yang</cp:lastModifiedBy>
  <dcterms:created xsi:type="dcterms:W3CDTF">2015-06-05T18:19:34Z</dcterms:created>
  <dcterms:modified xsi:type="dcterms:W3CDTF">2026-06-23T10:02:24Z</dcterms:modified>
</cp:coreProperties>
</file>