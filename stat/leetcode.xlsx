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ybr\Documents\Workspace\LLMHalluMiti\stat\"/>
    </mc:Choice>
  </mc:AlternateContent>
  <xr:revisionPtr revIDLastSave="0" documentId="8_{919F83F3-4612-4142-82E3-025457558EAD}" xr6:coauthVersionLast="47" xr6:coauthVersionMax="47" xr10:uidLastSave="{00000000-0000-0000-0000-000000000000}"/>
  <bookViews>
    <workbookView xWindow="-120" yWindow="-120" windowWidth="29040" windowHeight="15720" xr2:uid="{311A53CD-DEC1-4332-A976-671472767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  <c r="H3" i="1"/>
  <c r="H4" i="1"/>
  <c r="H5" i="1"/>
  <c r="H6" i="1"/>
  <c r="H7" i="1"/>
  <c r="H8" i="1"/>
  <c r="H9" i="1"/>
  <c r="H10" i="1"/>
  <c r="H11" i="1"/>
  <c r="H12" i="1"/>
  <c r="H13" i="1"/>
  <c r="H2" i="1"/>
  <c r="F3" i="1"/>
  <c r="F4" i="1"/>
  <c r="F5" i="1"/>
  <c r="F6" i="1"/>
  <c r="F7" i="1"/>
  <c r="F8" i="1"/>
  <c r="F9" i="1"/>
  <c r="F10" i="1"/>
  <c r="F11" i="1"/>
  <c r="F12" i="1"/>
  <c r="F13" i="1"/>
  <c r="F2" i="1"/>
  <c r="J5" i="1"/>
  <c r="J6" i="1"/>
  <c r="J7" i="1"/>
  <c r="J8" i="1"/>
  <c r="J9" i="1"/>
  <c r="J10" i="1"/>
  <c r="J11" i="1"/>
  <c r="J12" i="1"/>
  <c r="J13" i="1"/>
  <c r="J4" i="1"/>
  <c r="J3" i="1"/>
  <c r="J2" i="1"/>
</calcChain>
</file>

<file path=xl/sharedStrings.xml><?xml version="1.0" encoding="utf-8"?>
<sst xmlns="http://schemas.openxmlformats.org/spreadsheetml/2006/main" count="24" uniqueCount="15">
  <si>
    <t>gpt-4o</t>
    <phoneticPr fontId="1" type="noConversion"/>
  </si>
  <si>
    <t>gpt-5</t>
    <phoneticPr fontId="1" type="noConversion"/>
  </si>
  <si>
    <t>qwen3-32b</t>
    <phoneticPr fontId="1" type="noConversion"/>
  </si>
  <si>
    <t>gemini-2.5</t>
    <phoneticPr fontId="1" type="noConversion"/>
  </si>
  <si>
    <t>CoT</t>
    <phoneticPr fontId="1" type="noConversion"/>
  </si>
  <si>
    <t>DrHall</t>
    <phoneticPr fontId="1" type="noConversion"/>
  </si>
  <si>
    <t>MutRepair</t>
    <phoneticPr fontId="1" type="noConversion"/>
  </si>
  <si>
    <t>hallucination samples</t>
    <phoneticPr fontId="1" type="noConversion"/>
  </si>
  <si>
    <t>hallucination rate</t>
    <phoneticPr fontId="1" type="noConversion"/>
  </si>
  <si>
    <t>final hallu samples</t>
    <phoneticPr fontId="1" type="noConversion"/>
  </si>
  <si>
    <t>final hallu rate</t>
    <phoneticPr fontId="1" type="noConversion"/>
  </si>
  <si>
    <t>hallu repair samples</t>
    <phoneticPr fontId="1" type="noConversion"/>
  </si>
  <si>
    <t>hallu repair rate</t>
    <phoneticPr fontId="1" type="noConversion"/>
  </si>
  <si>
    <t>overcorrection samples</t>
    <phoneticPr fontId="1" type="noConversion"/>
  </si>
  <si>
    <t>overcorrection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</si>
</sst>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6187-DA90-434D-AC42-F94F5C1101BD}">
  <dimension ref="A1:J13"/>
  <sheetViews>
    <sheetView tabSelected="1" workbookViewId="0">
      <selection activeCell="H9" sqref="H9"/>
    </sheetView>
  </sheetViews>
  <sheetFormatPr defaultRowHeight="14.25" x14ac:dyDescent="0.2"/>
  <cols>
    <col min="1" max="2" width="10.625" customWidth="1"/>
    <col min="3" max="3" width="20.625" customWidth="1"/>
    <col min="4" max="4" width="20.625" style="1" customWidth="1"/>
    <col min="5" max="5" width="20.625" customWidth="1"/>
    <col min="6" max="6" width="20.625" style="1" customWidth="1"/>
    <col min="7" max="7" width="20.625" customWidth="1"/>
    <col min="8" max="8" width="20.625" style="1" customWidth="1"/>
    <col min="9" max="9" width="20.625" customWidth="1"/>
    <col min="10" max="10" width="20.625" style="1" customWidth="1"/>
  </cols>
  <sheetData>
    <row r="1" spans="1:10" x14ac:dyDescent="0.2">
      <c r="C1" t="s">
        <v>7</v>
      </c>
      <c r="D1" s="1" t="s">
        <v>8</v>
      </c>
      <c r="E1" t="s">
        <v>9</v>
      </c>
      <c r="F1" s="1" t="s">
        <v>10</v>
      </c>
      <c r="G1" t="s">
        <v>11</v>
      </c>
      <c r="H1" s="1" t="s">
        <v>12</v>
      </c>
      <c r="I1" t="s">
        <v>13</v>
      </c>
      <c r="J1" s="1" t="s">
        <v>14</v>
      </c>
    </row>
    <row r="2" spans="1:10" x14ac:dyDescent="0.2">
      <c r="A2" t="s">
        <v>0</v>
      </c>
      <c r="B2" t="s">
        <v>4</v>
      </c>
      <c r="C2" s="2">
        <v>130</v>
      </c>
      <c r="D2" s="3">
        <f>C2/200</f>
        <v>0.65</v>
      </c>
      <c r="E2">
        <v>124</v>
      </c>
      <c r="F2" s="1">
        <f>E2/200</f>
        <v>0.62</v>
      </c>
      <c r="G2">
        <v>6</v>
      </c>
      <c r="H2" s="1">
        <f>G2/C2</f>
        <v>4.6153846153846156E-2</v>
      </c>
      <c r="I2">
        <v>0</v>
      </c>
      <c r="J2" s="1">
        <f>I2/(200-C2)</f>
        <v>0</v>
      </c>
    </row>
    <row r="3" spans="1:10" x14ac:dyDescent="0.2">
      <c r="B3" t="s">
        <v>5</v>
      </c>
      <c r="C3" s="2">
        <v>130</v>
      </c>
      <c r="D3" s="3">
        <f t="shared" ref="D3:D13" si="0">C3/200</f>
        <v>0.65</v>
      </c>
      <c r="E3">
        <v>127</v>
      </c>
      <c r="F3" s="1">
        <f t="shared" ref="F3:F13" si="1">E3/200</f>
        <v>0.63500000000000001</v>
      </c>
      <c r="G3">
        <v>4</v>
      </c>
      <c r="H3" s="1">
        <f>G3/C3</f>
        <v>3.0769230769230771E-2</v>
      </c>
      <c r="I3">
        <v>1</v>
      </c>
      <c r="J3" s="1">
        <f>I3/(200-C3)</f>
        <v>1.4285714285714285E-2</v>
      </c>
    </row>
    <row r="4" spans="1:10" x14ac:dyDescent="0.2">
      <c r="B4" t="s">
        <v>6</v>
      </c>
      <c r="C4" s="2">
        <v>130</v>
      </c>
      <c r="D4" s="3">
        <f t="shared" si="0"/>
        <v>0.65</v>
      </c>
      <c r="E4">
        <v>102</v>
      </c>
      <c r="F4" s="1">
        <f t="shared" si="1"/>
        <v>0.51</v>
      </c>
      <c r="G4">
        <v>30</v>
      </c>
      <c r="H4" s="1">
        <f t="shared" ref="H4:H13" si="2">G4/C4</f>
        <v>0.23076923076923078</v>
      </c>
      <c r="I4">
        <v>3</v>
      </c>
      <c r="J4" s="1">
        <f>I4/(200-C4)</f>
        <v>4.2857142857142858E-2</v>
      </c>
    </row>
    <row r="5" spans="1:10" x14ac:dyDescent="0.2">
      <c r="A5" t="s">
        <v>1</v>
      </c>
      <c r="B5" t="s">
        <v>4</v>
      </c>
      <c r="C5" s="2">
        <v>53</v>
      </c>
      <c r="D5" s="3">
        <f t="shared" si="0"/>
        <v>0.26500000000000001</v>
      </c>
      <c r="E5">
        <v>44</v>
      </c>
      <c r="F5" s="1">
        <f t="shared" si="1"/>
        <v>0.22</v>
      </c>
      <c r="G5">
        <v>10</v>
      </c>
      <c r="H5" s="1">
        <f t="shared" si="2"/>
        <v>0.18867924528301888</v>
      </c>
      <c r="I5">
        <v>1</v>
      </c>
      <c r="J5" s="1">
        <f t="shared" ref="J5:J13" si="3">I5/(200-C5)</f>
        <v>6.8027210884353739E-3</v>
      </c>
    </row>
    <row r="6" spans="1:10" x14ac:dyDescent="0.2">
      <c r="B6" t="s">
        <v>5</v>
      </c>
      <c r="C6" s="2">
        <v>53</v>
      </c>
      <c r="D6" s="3">
        <f t="shared" si="0"/>
        <v>0.26500000000000001</v>
      </c>
      <c r="E6">
        <v>47</v>
      </c>
      <c r="F6" s="1">
        <f t="shared" si="1"/>
        <v>0.23499999999999999</v>
      </c>
      <c r="G6">
        <v>6</v>
      </c>
      <c r="H6" s="1">
        <f t="shared" si="2"/>
        <v>0.11320754716981132</v>
      </c>
      <c r="I6">
        <v>0</v>
      </c>
      <c r="J6" s="1">
        <f t="shared" si="3"/>
        <v>0</v>
      </c>
    </row>
    <row r="7" spans="1:10" x14ac:dyDescent="0.2">
      <c r="B7" t="s">
        <v>6</v>
      </c>
      <c r="C7" s="2">
        <v>53</v>
      </c>
      <c r="D7" s="3">
        <f t="shared" si="0"/>
        <v>0.26500000000000001</v>
      </c>
      <c r="F7" s="1">
        <f t="shared" si="1"/>
        <v>0</v>
      </c>
      <c r="H7" s="1">
        <f t="shared" si="2"/>
        <v>0</v>
      </c>
      <c r="J7" s="1">
        <f t="shared" si="3"/>
        <v>0</v>
      </c>
    </row>
    <row r="8" spans="1:10" x14ac:dyDescent="0.2">
      <c r="A8" t="s">
        <v>3</v>
      </c>
      <c r="B8" t="s">
        <v>4</v>
      </c>
      <c r="C8" s="2">
        <v>97</v>
      </c>
      <c r="D8" s="3">
        <f t="shared" si="0"/>
        <v>0.48499999999999999</v>
      </c>
      <c r="E8">
        <v>87</v>
      </c>
      <c r="F8" s="1">
        <f t="shared" si="1"/>
        <v>0.435</v>
      </c>
      <c r="G8">
        <v>12</v>
      </c>
      <c r="H8" s="1">
        <f t="shared" si="2"/>
        <v>0.12371134020618557</v>
      </c>
      <c r="I8">
        <v>2</v>
      </c>
      <c r="J8" s="1">
        <f t="shared" si="3"/>
        <v>1.9417475728155338E-2</v>
      </c>
    </row>
    <row r="9" spans="1:10" x14ac:dyDescent="0.2">
      <c r="B9" t="s">
        <v>5</v>
      </c>
      <c r="C9" s="2">
        <v>97</v>
      </c>
      <c r="D9" s="3">
        <f t="shared" si="0"/>
        <v>0.48499999999999999</v>
      </c>
      <c r="E9">
        <v>62</v>
      </c>
      <c r="F9" s="1">
        <f t="shared" si="1"/>
        <v>0.31</v>
      </c>
      <c r="G9">
        <v>37</v>
      </c>
      <c r="H9" s="1">
        <f t="shared" si="2"/>
        <v>0.38144329896907214</v>
      </c>
      <c r="I9">
        <v>2</v>
      </c>
      <c r="J9" s="1">
        <f t="shared" si="3"/>
        <v>1.9417475728155338E-2</v>
      </c>
    </row>
    <row r="10" spans="1:10" x14ac:dyDescent="0.2">
      <c r="B10" t="s">
        <v>6</v>
      </c>
      <c r="C10" s="2">
        <v>97</v>
      </c>
      <c r="D10" s="3">
        <f t="shared" si="0"/>
        <v>0.48499999999999999</v>
      </c>
      <c r="E10">
        <v>58</v>
      </c>
      <c r="F10" s="1">
        <f t="shared" si="1"/>
        <v>0.28999999999999998</v>
      </c>
      <c r="G10">
        <v>41</v>
      </c>
      <c r="H10" s="1">
        <f t="shared" si="2"/>
        <v>0.42268041237113402</v>
      </c>
      <c r="I10">
        <v>2</v>
      </c>
      <c r="J10" s="1">
        <f t="shared" si="3"/>
        <v>1.9417475728155338E-2</v>
      </c>
    </row>
    <row r="11" spans="1:10" x14ac:dyDescent="0.2">
      <c r="A11" t="s">
        <v>2</v>
      </c>
      <c r="B11" t="s">
        <v>4</v>
      </c>
      <c r="C11" s="2">
        <v>158</v>
      </c>
      <c r="D11" s="3">
        <f t="shared" si="0"/>
        <v>0.79</v>
      </c>
      <c r="E11">
        <v>157</v>
      </c>
      <c r="F11" s="1">
        <f t="shared" si="1"/>
        <v>0.78500000000000003</v>
      </c>
      <c r="G11">
        <v>7</v>
      </c>
      <c r="H11" s="1">
        <f t="shared" si="2"/>
        <v>4.4303797468354431E-2</v>
      </c>
      <c r="I11">
        <v>6</v>
      </c>
      <c r="J11" s="1">
        <f t="shared" si="3"/>
        <v>0.14285714285714285</v>
      </c>
    </row>
    <row r="12" spans="1:10" x14ac:dyDescent="0.2">
      <c r="B12" t="s">
        <v>5</v>
      </c>
      <c r="C12" s="2">
        <v>158</v>
      </c>
      <c r="D12" s="3">
        <f t="shared" si="0"/>
        <v>0.79</v>
      </c>
      <c r="E12">
        <v>151</v>
      </c>
      <c r="F12" s="1">
        <f t="shared" si="1"/>
        <v>0.755</v>
      </c>
      <c r="G12">
        <v>7</v>
      </c>
      <c r="H12" s="1">
        <f t="shared" si="2"/>
        <v>4.4303797468354431E-2</v>
      </c>
      <c r="I12">
        <v>0</v>
      </c>
      <c r="J12" s="1">
        <f t="shared" si="3"/>
        <v>0</v>
      </c>
    </row>
    <row r="13" spans="1:10" x14ac:dyDescent="0.2">
      <c r="B13" t="s">
        <v>6</v>
      </c>
      <c r="C13" s="2">
        <v>158</v>
      </c>
      <c r="D13" s="3">
        <f t="shared" si="0"/>
        <v>0.79</v>
      </c>
      <c r="E13">
        <v>90</v>
      </c>
      <c r="F13" s="1">
        <f t="shared" si="1"/>
        <v>0.45</v>
      </c>
      <c r="G13">
        <v>71</v>
      </c>
      <c r="H13" s="1">
        <f t="shared" si="2"/>
        <v>0.44936708860759494</v>
      </c>
      <c r="I13">
        <v>3</v>
      </c>
      <c r="J13" s="1">
        <f t="shared" si="3"/>
        <v>7.1428571428571425E-2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Borui Yang</dc:creator>
  <cp:lastModifiedBy>Borui Yang</cp:lastModifiedBy>
  <dcterms:created xsi:type="dcterms:W3CDTF">2026-06-16T08:42:57Z</dcterms:created>
  <dcterms:modified xsi:type="dcterms:W3CDTF">2026-06-16T10:02:03Z</dcterms:modified>
</cp:coreProperties>
</file>